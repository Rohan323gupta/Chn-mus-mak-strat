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New folder\Module 2 project\"/>
    </mc:Choice>
  </mc:AlternateContent>
  <xr:revisionPtr revIDLastSave="0" documentId="13_ncr:1_{0C384DF9-8067-48D6-AE33-10F6CBB9DFF6}" xr6:coauthVersionLast="47" xr6:coauthVersionMax="47" xr10:uidLastSave="{00000000-0000-0000-0000-000000000000}"/>
  <bookViews>
    <workbookView xWindow="-108" yWindow="-108" windowWidth="23256" windowHeight="12456" activeTab="1" xr2:uid="{45933351-CCEE-41AA-A34C-16CD7026FB95}"/>
  </bookViews>
  <sheets>
    <sheet name="Objective" sheetId="1" r:id="rId1"/>
    <sheet name="Subjective" sheetId="2" r:id="rId2"/>
    <sheet name="Extra_tables" sheetId="4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<sst xmlns="http://schemas.openxmlformats.org/spreadsheetml/2006/main" count="933" uniqueCount="287">
  <si>
    <t>Q1</t>
  </si>
  <si>
    <t>Q3</t>
  </si>
  <si>
    <t>country</t>
  </si>
  <si>
    <t>customer_count</t>
  </si>
  <si>
    <t>USA</t>
  </si>
  <si>
    <t>Canada</t>
  </si>
  <si>
    <t>Brazil</t>
  </si>
  <si>
    <t>France</t>
  </si>
  <si>
    <t>Germany</t>
  </si>
  <si>
    <t>United Kingdom</t>
  </si>
  <si>
    <t>Czech Republic</t>
  </si>
  <si>
    <t>Portugal</t>
  </si>
  <si>
    <t>India</t>
  </si>
  <si>
    <t>Norway</t>
  </si>
  <si>
    <t>Austria</t>
  </si>
  <si>
    <t>Belgium</t>
  </si>
  <si>
    <t>Denmark</t>
  </si>
  <si>
    <t>Finland</t>
  </si>
  <si>
    <t>Hungary</t>
  </si>
  <si>
    <t>Ireland</t>
  </si>
  <si>
    <t>Italy</t>
  </si>
  <si>
    <t>Netherlands</t>
  </si>
  <si>
    <t>Poland</t>
  </si>
  <si>
    <t>Spain</t>
  </si>
  <si>
    <t>Sweden</t>
  </si>
  <si>
    <t>Australia</t>
  </si>
  <si>
    <t>Argentina</t>
  </si>
  <si>
    <t>Chile</t>
  </si>
  <si>
    <t>Q4</t>
  </si>
  <si>
    <t>Q5</t>
  </si>
  <si>
    <t>billing_country</t>
  </si>
  <si>
    <t>billing_state</t>
  </si>
  <si>
    <t>billing_city</t>
  </si>
  <si>
    <t>total_revenue</t>
  </si>
  <si>
    <t>number_of_invoices</t>
  </si>
  <si>
    <t>None</t>
  </si>
  <si>
    <t>Buenos Aires</t>
  </si>
  <si>
    <t>NSW</t>
  </si>
  <si>
    <t>Sidney</t>
  </si>
  <si>
    <t>Vienne</t>
  </si>
  <si>
    <t>Brussels</t>
  </si>
  <si>
    <t>RJ</t>
  </si>
  <si>
    <t>Rio de Janeiro</t>
  </si>
  <si>
    <t>DF</t>
  </si>
  <si>
    <t>BrasÃ­lia</t>
  </si>
  <si>
    <t>SP</t>
  </si>
  <si>
    <t>SÃ£o JosÃ© dos Campos</t>
  </si>
  <si>
    <t>SÃ£o Paulo</t>
  </si>
  <si>
    <t>AB</t>
  </si>
  <si>
    <t>Edmonton</t>
  </si>
  <si>
    <t>ON</t>
  </si>
  <si>
    <t>Toronto</t>
  </si>
  <si>
    <t>NS</t>
  </si>
  <si>
    <t>Halifax</t>
  </si>
  <si>
    <t>BC</t>
  </si>
  <si>
    <t>Vancouver</t>
  </si>
  <si>
    <t>MB</t>
  </si>
  <si>
    <t>Winnipeg</t>
  </si>
  <si>
    <t>NT</t>
  </si>
  <si>
    <t>Yellowknife</t>
  </si>
  <si>
    <t>Ottawa</t>
  </si>
  <si>
    <t>QC</t>
  </si>
  <si>
    <t>MontrÃ©al</t>
  </si>
  <si>
    <t>Santiago</t>
  </si>
  <si>
    <t>Prague</t>
  </si>
  <si>
    <t>Copenhagen</t>
  </si>
  <si>
    <t>Helsinki</t>
  </si>
  <si>
    <t>Lyon</t>
  </si>
  <si>
    <t>Dijon</t>
  </si>
  <si>
    <t>Bordeaux</t>
  </si>
  <si>
    <t>Paris</t>
  </si>
  <si>
    <t>Stuttgart</t>
  </si>
  <si>
    <t>Frankfurt</t>
  </si>
  <si>
    <t>Berlin</t>
  </si>
  <si>
    <t>Budapest</t>
  </si>
  <si>
    <t>Bangalore</t>
  </si>
  <si>
    <t>Delhi</t>
  </si>
  <si>
    <t>Dublin</t>
  </si>
  <si>
    <t>RM</t>
  </si>
  <si>
    <t>Rome</t>
  </si>
  <si>
    <t>VV</t>
  </si>
  <si>
    <t>Amsterdam</t>
  </si>
  <si>
    <t>Oslo</t>
  </si>
  <si>
    <t>Warsaw</t>
  </si>
  <si>
    <t>Porto</t>
  </si>
  <si>
    <t>Lisbon</t>
  </si>
  <si>
    <t>Madrid</t>
  </si>
  <si>
    <t>Stockholm</t>
  </si>
  <si>
    <t xml:space="preserve">Edinburgh </t>
  </si>
  <si>
    <t>London</t>
  </si>
  <si>
    <t>CA</t>
  </si>
  <si>
    <t>Cupertino</t>
  </si>
  <si>
    <t>MA</t>
  </si>
  <si>
    <t>Boston</t>
  </si>
  <si>
    <t>IL</t>
  </si>
  <si>
    <t>Chicago</t>
  </si>
  <si>
    <t>UT</t>
  </si>
  <si>
    <t>Salt Lake City</t>
  </si>
  <si>
    <t>WI</t>
  </si>
  <si>
    <t>Madison</t>
  </si>
  <si>
    <t>NY</t>
  </si>
  <si>
    <t>New York</t>
  </si>
  <si>
    <t>AZ</t>
  </si>
  <si>
    <t>Tucson</t>
  </si>
  <si>
    <t>TX</t>
  </si>
  <si>
    <t>Fort Worth</t>
  </si>
  <si>
    <t>NV</t>
  </si>
  <si>
    <t>Reno</t>
  </si>
  <si>
    <t>FL</t>
  </si>
  <si>
    <t>Orlando</t>
  </si>
  <si>
    <t>WA</t>
  </si>
  <si>
    <t>Redmond</t>
  </si>
  <si>
    <t>Mountain View</t>
  </si>
  <si>
    <t>customer_id</t>
  </si>
  <si>
    <t>full_name</t>
  </si>
  <si>
    <t>revenue</t>
  </si>
  <si>
    <t>ranking</t>
  </si>
  <si>
    <t>Diego GutiÃ©rrez</t>
  </si>
  <si>
    <t>Mark Taylor</t>
  </si>
  <si>
    <t>Astrid Gruber</t>
  </si>
  <si>
    <t>Daan Peeters</t>
  </si>
  <si>
    <t>LuÃ­s GonÃ§alves</t>
  </si>
  <si>
    <t>Fernanda Ramos</t>
  </si>
  <si>
    <t>Roberto Almeida</t>
  </si>
  <si>
    <t>Alexandre Rocha</t>
  </si>
  <si>
    <t>Eduardo Martins</t>
  </si>
  <si>
    <t>FranÃ§ois Tremblay</t>
  </si>
  <si>
    <t>Edward Francis</t>
  </si>
  <si>
    <t>Ellie Sullivan</t>
  </si>
  <si>
    <t>Aaron Mitchell</t>
  </si>
  <si>
    <t>Jennifer Peterson</t>
  </si>
  <si>
    <t>Luis Rojas</t>
  </si>
  <si>
    <t>FrantiÅ¡ek WichterlovÃ¡</t>
  </si>
  <si>
    <t>Helena HolÃ½</t>
  </si>
  <si>
    <t>Kara Nielsen</t>
  </si>
  <si>
    <t>Terhi HÃ¤mÃ¤lÃ¤inen</t>
  </si>
  <si>
    <t>Wyatt Girard</t>
  </si>
  <si>
    <t>Camille Bernard</t>
  </si>
  <si>
    <t>Isabelle Mercier</t>
  </si>
  <si>
    <t>Dominique Lefebvre</t>
  </si>
  <si>
    <t>Marc Dubois</t>
  </si>
  <si>
    <t>Fynn Zimmermann</t>
  </si>
  <si>
    <t>Hannah Schneider</t>
  </si>
  <si>
    <t>Leonie KÃ¶hler</t>
  </si>
  <si>
    <t>Niklas SchrÃ¶der</t>
  </si>
  <si>
    <t>Ladislav KovÃ¡cs</t>
  </si>
  <si>
    <t>Manoj Pareek</t>
  </si>
  <si>
    <t>Puja Srivastava</t>
  </si>
  <si>
    <t>Hugh O'Reilly</t>
  </si>
  <si>
    <t>Lucas Mancini</t>
  </si>
  <si>
    <t>Johannes Van der Berg</t>
  </si>
  <si>
    <t>BjÃ¸rn Hansen</t>
  </si>
  <si>
    <t>StanisÅ‚aw WÃ³jcik</t>
  </si>
  <si>
    <t>JoÃ£o Fernandes</t>
  </si>
  <si>
    <t>Madalena Sampaio</t>
  </si>
  <si>
    <t>Enrique MuÃ±oz</t>
  </si>
  <si>
    <t>Joakim Johansson</t>
  </si>
  <si>
    <t>Phil Hughes</t>
  </si>
  <si>
    <t>Steve Murray</t>
  </si>
  <si>
    <t>Emma Jones</t>
  </si>
  <si>
    <t>Jack Smith</t>
  </si>
  <si>
    <t>Dan Miller</t>
  </si>
  <si>
    <t>Heather Leacock</t>
  </si>
  <si>
    <t>Kathy Chase</t>
  </si>
  <si>
    <t>Richard Cunningham</t>
  </si>
  <si>
    <t>Q6</t>
  </si>
  <si>
    <t>Q7</t>
  </si>
  <si>
    <t>purchase_year</t>
  </si>
  <si>
    <t>purchase_month</t>
  </si>
  <si>
    <t>sales_count</t>
  </si>
  <si>
    <t>revenue_gen</t>
  </si>
  <si>
    <t>tracks_bought</t>
  </si>
  <si>
    <t>Q8</t>
  </si>
  <si>
    <t>year</t>
  </si>
  <si>
    <t>churn_rate</t>
  </si>
  <si>
    <t>Q9</t>
  </si>
  <si>
    <t>genre_name</t>
  </si>
  <si>
    <t>genre_percent</t>
  </si>
  <si>
    <t>Rock</t>
  </si>
  <si>
    <t>Alternative &amp; Punk</t>
  </si>
  <si>
    <t>Metal</t>
  </si>
  <si>
    <t>R&amp;B/Soul</t>
  </si>
  <si>
    <t>Blues</t>
  </si>
  <si>
    <t>Alternative</t>
  </si>
  <si>
    <t>Latin</t>
  </si>
  <si>
    <t>Pop</t>
  </si>
  <si>
    <t>Hip Hop/Rap</t>
  </si>
  <si>
    <t>Jazz</t>
  </si>
  <si>
    <t>Easy Listening</t>
  </si>
  <si>
    <t>Reggae</t>
  </si>
  <si>
    <t>Electronica/Dance</t>
  </si>
  <si>
    <t>Classical</t>
  </si>
  <si>
    <t>Heavy Metal</t>
  </si>
  <si>
    <t>Soundtrack</t>
  </si>
  <si>
    <t>TV Shows</t>
  </si>
  <si>
    <t>Q10</t>
  </si>
  <si>
    <t>Mark Philips</t>
  </si>
  <si>
    <t>Frank Harris</t>
  </si>
  <si>
    <t>Michelle Brooks</t>
  </si>
  <si>
    <t>Tim Goyer</t>
  </si>
  <si>
    <t>John Gordon</t>
  </si>
  <si>
    <t>Frank Ralston</t>
  </si>
  <si>
    <t>Victor Stevens</t>
  </si>
  <si>
    <t>Patrick Gray</t>
  </si>
  <si>
    <t>Julia Barnett</t>
  </si>
  <si>
    <t>Robert Brown</t>
  </si>
  <si>
    <t>Martha Silk</t>
  </si>
  <si>
    <t>Q11</t>
  </si>
  <si>
    <t>genre_revenue</t>
  </si>
  <si>
    <t>Q12</t>
  </si>
  <si>
    <t>album_id</t>
  </si>
  <si>
    <t>title</t>
  </si>
  <si>
    <t>Appetite for Destruction</t>
  </si>
  <si>
    <t>Beyond Good And Evil</t>
  </si>
  <si>
    <t>Stormbringer</t>
  </si>
  <si>
    <t>Q2</t>
  </si>
  <si>
    <t>genre_id</t>
  </si>
  <si>
    <t>classify</t>
  </si>
  <si>
    <t>frequency</t>
  </si>
  <si>
    <t>avg_basket_size</t>
  </si>
  <si>
    <t>avg_amount</t>
  </si>
  <si>
    <t>new</t>
  </si>
  <si>
    <t>old</t>
  </si>
  <si>
    <t>albums</t>
  </si>
  <si>
    <t>genres</t>
  </si>
  <si>
    <t>artists</t>
  </si>
  <si>
    <t>title2</t>
  </si>
  <si>
    <t>pairs_count</t>
  </si>
  <si>
    <t>Are You Experienced?</t>
  </si>
  <si>
    <t>Mezmerize</t>
  </si>
  <si>
    <t>Vault: Def Leppard's Greatest Hits</t>
  </si>
  <si>
    <t>My Way: The Best Of Frank Sinatra [Disc 1]</t>
  </si>
  <si>
    <t>The Police Greatest Hits</t>
  </si>
  <si>
    <t>My Generation - The Very Best Of The Who</t>
  </si>
  <si>
    <t>Dark Side Of The Moon</t>
  </si>
  <si>
    <t>The Singles</t>
  </si>
  <si>
    <t>genre_name2</t>
  </si>
  <si>
    <t>artist_name</t>
  </si>
  <si>
    <t>artist_name2</t>
  </si>
  <si>
    <t>Led Zeppelin</t>
  </si>
  <si>
    <t>Green Day</t>
  </si>
  <si>
    <t>Foo Fighters</t>
  </si>
  <si>
    <t>Eric Clapton</t>
  </si>
  <si>
    <t>Nirvana</t>
  </si>
  <si>
    <t>Queen</t>
  </si>
  <si>
    <t>U2</t>
  </si>
  <si>
    <t>total_customers</t>
  </si>
  <si>
    <t>country_freq</t>
  </si>
  <si>
    <t>country_basket</t>
  </si>
  <si>
    <t>country_spent</t>
  </si>
  <si>
    <t>freq_segment</t>
  </si>
  <si>
    <t>value_segment</t>
  </si>
  <si>
    <t>churned_customers</t>
  </si>
  <si>
    <t>High Frequency</t>
  </si>
  <si>
    <t>High Value</t>
  </si>
  <si>
    <t>Low Value</t>
  </si>
  <si>
    <t>Low Frequency</t>
  </si>
  <si>
    <t>avg_clv</t>
  </si>
  <si>
    <t>churned</t>
  </si>
  <si>
    <t>churn_segment</t>
  </si>
  <si>
    <t>active</t>
  </si>
  <si>
    <t>churn</t>
  </si>
  <si>
    <t>cust_avg_amount</t>
  </si>
  <si>
    <t>cust_avg_basket</t>
  </si>
  <si>
    <t>Sum of total_revenue</t>
  </si>
  <si>
    <t>Sum of number_of_invoices</t>
  </si>
  <si>
    <t>Row Labels</t>
  </si>
  <si>
    <t>Grand Total</t>
  </si>
  <si>
    <t>Column Labels</t>
  </si>
  <si>
    <t>Sum of sales_count</t>
  </si>
  <si>
    <t>Sum of revenue_gen</t>
  </si>
  <si>
    <t>Sum of tracks_bought</t>
  </si>
  <si>
    <t>Sum of revenue</t>
  </si>
  <si>
    <t>Avg_freq</t>
  </si>
  <si>
    <t>avg_size</t>
  </si>
  <si>
    <t>avg_spend</t>
  </si>
  <si>
    <t>Sum of churn_rate</t>
  </si>
  <si>
    <t>Ans 6</t>
  </si>
  <si>
    <t>Ans 7</t>
  </si>
  <si>
    <t>media_type_id</t>
  </si>
  <si>
    <t>media_name</t>
  </si>
  <si>
    <t>MPEG audio file</t>
  </si>
  <si>
    <t>Protected AAC audio file</t>
  </si>
  <si>
    <t>Purchased AAC audio file</t>
  </si>
  <si>
    <t>AAC audio file</t>
  </si>
  <si>
    <t>Protected MPEG-4 video file</t>
  </si>
  <si>
    <t>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</si>
</sst>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left" indent="1"/>
    </xf>
    <xf numFmtId="164" fontId="0" fillId="0" borderId="0" xfId="0" applyNumberFormat="1"/>
    <xf numFmtId="0" fontId="1" fillId="0" borderId="0" xfId="0" applyFont="1"/>
    <xf numFmtId="0" fontId="0" fillId="0" borderId="1" xfId="0" applyBorder="1" applyAlignment="1">
      <alignment vertical="center" wrapText="1"/>
    </xf>
    <xf numFmtId="2" fontId="0" fillId="0" borderId="1" xfId="0" applyNumberFormat="1" applyBorder="1"/>
  </cellXfs>
  <cellStyles count="1">
    <cellStyle name="Normal" xfId="0" builtinId="0"/>
  </cellStyles>
  <dxfs count="1"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result.xlsx]Objective!PivotTable47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Objective!$J$58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Objective!$I$59:$I$69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Czech Republic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Ireland</c:v>
                </c:pt>
                <c:pt idx="7">
                  <c:v>Portugal</c:v>
                </c:pt>
                <c:pt idx="8">
                  <c:v>United Kingdom</c:v>
                </c:pt>
                <c:pt idx="9">
                  <c:v>USA</c:v>
                </c:pt>
              </c:strCache>
            </c:strRef>
          </c:cat>
          <c:val>
            <c:numRef>
              <c:f>Objective!$J$59:$J$69</c:f>
              <c:numCache>
                <c:formatCode>General</c:formatCode>
                <c:ptCount val="10"/>
                <c:pt idx="0">
                  <c:v>427.68</c:v>
                </c:pt>
                <c:pt idx="1">
                  <c:v>535.59</c:v>
                </c:pt>
                <c:pt idx="2">
                  <c:v>273.24</c:v>
                </c:pt>
                <c:pt idx="3">
                  <c:v>389.07000000000005</c:v>
                </c:pt>
                <c:pt idx="4">
                  <c:v>334.62</c:v>
                </c:pt>
                <c:pt idx="5">
                  <c:v>183.15</c:v>
                </c:pt>
                <c:pt idx="6">
                  <c:v>114.84</c:v>
                </c:pt>
                <c:pt idx="7">
                  <c:v>185.13</c:v>
                </c:pt>
                <c:pt idx="8">
                  <c:v>245.51999999999998</c:v>
                </c:pt>
                <c:pt idx="9">
                  <c:v>1040.49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5-4ED8-8084-17C596D7CE63}"/>
            </c:ext>
          </c:extLst>
        </c:ser>
        <c:ser>
          <c:idx val="1"/>
          <c:order val="1"/>
          <c:tx>
            <c:strRef>
              <c:f>Objective!$K$58</c:f>
              <c:strCache>
                <c:ptCount val="1"/>
                <c:pt idx="0">
                  <c:v>Sum of number_of_invoices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Objective!$I$59:$I$69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Czech Republic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Ireland</c:v>
                </c:pt>
                <c:pt idx="7">
                  <c:v>Portugal</c:v>
                </c:pt>
                <c:pt idx="8">
                  <c:v>United Kingdom</c:v>
                </c:pt>
                <c:pt idx="9">
                  <c:v>USA</c:v>
                </c:pt>
              </c:strCache>
            </c:strRef>
          </c:cat>
          <c:val>
            <c:numRef>
              <c:f>Objective!$K$59:$K$69</c:f>
              <c:numCache>
                <c:formatCode>General</c:formatCode>
                <c:ptCount val="10"/>
                <c:pt idx="0">
                  <c:v>61</c:v>
                </c:pt>
                <c:pt idx="1">
                  <c:v>76</c:v>
                </c:pt>
                <c:pt idx="2">
                  <c:v>30</c:v>
                </c:pt>
                <c:pt idx="3">
                  <c:v>50</c:v>
                </c:pt>
                <c:pt idx="4">
                  <c:v>41</c:v>
                </c:pt>
                <c:pt idx="5">
                  <c:v>21</c:v>
                </c:pt>
                <c:pt idx="6">
                  <c:v>13</c:v>
                </c:pt>
                <c:pt idx="7">
                  <c:v>29</c:v>
                </c:pt>
                <c:pt idx="8">
                  <c:v>28</c:v>
                </c:pt>
                <c:pt idx="9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5-4ED8-8084-17C596D7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431552"/>
        <c:axId val="625425792"/>
      </c:barChart>
      <c:catAx>
        <c:axId val="62543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25792"/>
        <c:crosses val="autoZero"/>
        <c:auto val="1"/>
        <c:lblAlgn val="ctr"/>
        <c:lblOffset val="100"/>
        <c:noMultiLvlLbl val="0"/>
      </c:catAx>
      <c:valAx>
        <c:axId val="6254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Objective!$D$30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Objective!$B$31:$C$40</c:f>
              <c:multiLvlStrCache>
                <c:ptCount val="10"/>
                <c:lvl>
                  <c:pt idx="0">
                    <c:v>Prague</c:v>
                  </c:pt>
                  <c:pt idx="1">
                    <c:v>Mountain View</c:v>
                  </c:pt>
                  <c:pt idx="2">
                    <c:v>London</c:v>
                  </c:pt>
                  <c:pt idx="3">
                    <c:v>Berlin</c:v>
                  </c:pt>
                  <c:pt idx="4">
                    <c:v>Paris</c:v>
                  </c:pt>
                  <c:pt idx="5">
                    <c:v>SÃ£o Paulo</c:v>
                  </c:pt>
                  <c:pt idx="6">
                    <c:v>Dublin</c:v>
                  </c:pt>
                  <c:pt idx="7">
                    <c:v>Delhi</c:v>
                  </c:pt>
                  <c:pt idx="8">
                    <c:v>SÃ£o JosÃ© dos Campos</c:v>
                  </c:pt>
                  <c:pt idx="9">
                    <c:v>BrasÃ­lia</c:v>
                  </c:pt>
                </c:lvl>
                <c:lvl>
                  <c:pt idx="0">
                    <c:v>Czech Republic</c:v>
                  </c:pt>
                  <c:pt idx="1">
                    <c:v>USA</c:v>
                  </c:pt>
                  <c:pt idx="2">
                    <c:v>United Kingdom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Brazil</c:v>
                  </c:pt>
                  <c:pt idx="6">
                    <c:v>Ireland</c:v>
                  </c:pt>
                  <c:pt idx="7">
                    <c:v>India</c:v>
                  </c:pt>
                  <c:pt idx="8">
                    <c:v>Brazil</c:v>
                  </c:pt>
                  <c:pt idx="9">
                    <c:v>Brazil</c:v>
                  </c:pt>
                </c:lvl>
              </c:multiLvlStrCache>
            </c:multiLvlStrRef>
          </c:cat>
          <c:val>
            <c:numRef>
              <c:f>Objective!$D$31:$D$40</c:f>
              <c:numCache>
                <c:formatCode>General</c:formatCode>
                <c:ptCount val="10"/>
                <c:pt idx="0">
                  <c:v>273.24</c:v>
                </c:pt>
                <c:pt idx="1">
                  <c:v>169.29</c:v>
                </c:pt>
                <c:pt idx="2">
                  <c:v>166.32</c:v>
                </c:pt>
                <c:pt idx="3">
                  <c:v>158.4</c:v>
                </c:pt>
                <c:pt idx="4">
                  <c:v>151.47</c:v>
                </c:pt>
                <c:pt idx="5">
                  <c:v>129.69</c:v>
                </c:pt>
                <c:pt idx="6">
                  <c:v>114.84</c:v>
                </c:pt>
                <c:pt idx="7">
                  <c:v>111.87</c:v>
                </c:pt>
                <c:pt idx="8">
                  <c:v>108.9</c:v>
                </c:pt>
                <c:pt idx="9">
                  <c:v>106.92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9AE-B9BB-ED42FBBA8A35}"/>
            </c:ext>
          </c:extLst>
        </c:ser>
        <c:ser>
          <c:idx val="1"/>
          <c:order val="1"/>
          <c:tx>
            <c:strRef>
              <c:f>Objective!$E$30</c:f>
              <c:strCache>
                <c:ptCount val="1"/>
                <c:pt idx="0">
                  <c:v>number_of_invoices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Objective!$B$31:$C$40</c:f>
              <c:multiLvlStrCache>
                <c:ptCount val="10"/>
                <c:lvl>
                  <c:pt idx="0">
                    <c:v>Prague</c:v>
                  </c:pt>
                  <c:pt idx="1">
                    <c:v>Mountain View</c:v>
                  </c:pt>
                  <c:pt idx="2">
                    <c:v>London</c:v>
                  </c:pt>
                  <c:pt idx="3">
                    <c:v>Berlin</c:v>
                  </c:pt>
                  <c:pt idx="4">
                    <c:v>Paris</c:v>
                  </c:pt>
                  <c:pt idx="5">
                    <c:v>SÃ£o Paulo</c:v>
                  </c:pt>
                  <c:pt idx="6">
                    <c:v>Dublin</c:v>
                  </c:pt>
                  <c:pt idx="7">
                    <c:v>Delhi</c:v>
                  </c:pt>
                  <c:pt idx="8">
                    <c:v>SÃ£o JosÃ© dos Campos</c:v>
                  </c:pt>
                  <c:pt idx="9">
                    <c:v>BrasÃ­lia</c:v>
                  </c:pt>
                </c:lvl>
                <c:lvl>
                  <c:pt idx="0">
                    <c:v>Czech Republic</c:v>
                  </c:pt>
                  <c:pt idx="1">
                    <c:v>USA</c:v>
                  </c:pt>
                  <c:pt idx="2">
                    <c:v>United Kingdom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Brazil</c:v>
                  </c:pt>
                  <c:pt idx="6">
                    <c:v>Ireland</c:v>
                  </c:pt>
                  <c:pt idx="7">
                    <c:v>India</c:v>
                  </c:pt>
                  <c:pt idx="8">
                    <c:v>Brazil</c:v>
                  </c:pt>
                  <c:pt idx="9">
                    <c:v>Brazil</c:v>
                  </c:pt>
                </c:lvl>
              </c:multiLvlStrCache>
            </c:multiLvlStrRef>
          </c:cat>
          <c:val>
            <c:numRef>
              <c:f>Objective!$E$31:$E$40</c:f>
              <c:numCache>
                <c:formatCode>General</c:formatCode>
                <c:ptCount val="10"/>
                <c:pt idx="0">
                  <c:v>30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18</c:v>
                </c:pt>
                <c:pt idx="5">
                  <c:v>22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F-49AE-B9BB-ED42FBBA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430592"/>
        <c:axId val="625428192"/>
      </c:barChart>
      <c:catAx>
        <c:axId val="62543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28192"/>
        <c:crosses val="autoZero"/>
        <c:auto val="1"/>
        <c:lblAlgn val="ctr"/>
        <c:lblOffset val="100"/>
        <c:noMultiLvlLbl val="0"/>
      </c:catAx>
      <c:valAx>
        <c:axId val="6254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result.xlsx]Objective!PivotTable121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Objective!$Z$54:$Z$55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Objective!$Y$56:$Y$67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Objective!$Z$56:$Z$67</c:f>
              <c:numCache>
                <c:formatCode>General</c:formatCode>
                <c:ptCount val="12"/>
                <c:pt idx="0">
                  <c:v>17</c:v>
                </c:pt>
                <c:pt idx="1">
                  <c:v>19</c:v>
                </c:pt>
                <c:pt idx="2">
                  <c:v>13</c:v>
                </c:pt>
                <c:pt idx="3">
                  <c:v>17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F-48AE-897D-713470E06587}"/>
            </c:ext>
          </c:extLst>
        </c:ser>
        <c:ser>
          <c:idx val="1"/>
          <c:order val="1"/>
          <c:tx>
            <c:strRef>
              <c:f>Objective!$AA$54:$AA$55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Objective!$Y$56:$Y$67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Objective!$AA$56:$AA$67</c:f>
              <c:numCache>
                <c:formatCode>General</c:formatCode>
                <c:ptCount val="12"/>
                <c:pt idx="0">
                  <c:v>22</c:v>
                </c:pt>
                <c:pt idx="1">
                  <c:v>18</c:v>
                </c:pt>
                <c:pt idx="2">
                  <c:v>18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16</c:v>
                </c:pt>
                <c:pt idx="8">
                  <c:v>6</c:v>
                </c:pt>
                <c:pt idx="9">
                  <c:v>8</c:v>
                </c:pt>
                <c:pt idx="10">
                  <c:v>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F-48AE-897D-713470E06587}"/>
            </c:ext>
          </c:extLst>
        </c:ser>
        <c:ser>
          <c:idx val="2"/>
          <c:order val="2"/>
          <c:tx>
            <c:strRef>
              <c:f>Objective!$AB$54:$AB$55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Objective!$Y$56:$Y$67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Objective!$AB$56:$AB$67</c:f>
              <c:numCache>
                <c:formatCode>General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16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19</c:v>
                </c:pt>
                <c:pt idx="9">
                  <c:v>6</c:v>
                </c:pt>
                <c:pt idx="10">
                  <c:v>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F-48AE-897D-713470E06587}"/>
            </c:ext>
          </c:extLst>
        </c:ser>
        <c:ser>
          <c:idx val="3"/>
          <c:order val="3"/>
          <c:tx>
            <c:strRef>
              <c:f>Objective!$AC$54:$AC$55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Objective!$Y$56:$Y$67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Objective!$AC$56:$AC$67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11</c:v>
                </c:pt>
                <c:pt idx="3">
                  <c:v>16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18</c:v>
                </c:pt>
                <c:pt idx="10">
                  <c:v>12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F-48AE-897D-713470E0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80640"/>
        <c:axId val="782981600"/>
      </c:lineChart>
      <c:catAx>
        <c:axId val="7829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81600"/>
        <c:crosses val="autoZero"/>
        <c:auto val="1"/>
        <c:lblAlgn val="ctr"/>
        <c:lblOffset val="100"/>
        <c:noMultiLvlLbl val="0"/>
      </c:catAx>
      <c:valAx>
        <c:axId val="7829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8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result.xlsx]Objective!PivotTable122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generated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Objective!$Z$70:$Z$71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Objective!$Y$72:$Y$83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Objective!$Z$72:$Z$83</c:f>
              <c:numCache>
                <c:formatCode>General</c:formatCode>
                <c:ptCount val="12"/>
                <c:pt idx="0">
                  <c:v>126.72</c:v>
                </c:pt>
                <c:pt idx="1">
                  <c:v>140.58000000000001</c:v>
                </c:pt>
                <c:pt idx="2">
                  <c:v>102.96</c:v>
                </c:pt>
                <c:pt idx="3">
                  <c:v>142.56</c:v>
                </c:pt>
                <c:pt idx="4">
                  <c:v>104.94</c:v>
                </c:pt>
                <c:pt idx="5">
                  <c:v>75.239999999999995</c:v>
                </c:pt>
                <c:pt idx="6">
                  <c:v>108.9</c:v>
                </c:pt>
                <c:pt idx="7">
                  <c:v>88.11</c:v>
                </c:pt>
                <c:pt idx="8">
                  <c:v>107.91</c:v>
                </c:pt>
                <c:pt idx="9">
                  <c:v>79.2</c:v>
                </c:pt>
                <c:pt idx="10">
                  <c:v>94.05</c:v>
                </c:pt>
                <c:pt idx="11">
                  <c:v>28.71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0-4A94-A36A-1AC06F02EC47}"/>
            </c:ext>
          </c:extLst>
        </c:ser>
        <c:ser>
          <c:idx val="1"/>
          <c:order val="1"/>
          <c:tx>
            <c:strRef>
              <c:f>Objective!$AA$70:$AA$71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Objective!$Y$72:$Y$83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Objective!$AA$72:$AA$83</c:f>
              <c:numCache>
                <c:formatCode>General</c:formatCode>
                <c:ptCount val="12"/>
                <c:pt idx="0">
                  <c:v>183.15</c:v>
                </c:pt>
                <c:pt idx="1">
                  <c:v>116.82</c:v>
                </c:pt>
                <c:pt idx="2">
                  <c:v>148.5</c:v>
                </c:pt>
                <c:pt idx="3">
                  <c:v>63.36</c:v>
                </c:pt>
                <c:pt idx="4">
                  <c:v>75.239999999999995</c:v>
                </c:pt>
                <c:pt idx="5">
                  <c:v>92.07</c:v>
                </c:pt>
                <c:pt idx="6">
                  <c:v>85.14</c:v>
                </c:pt>
                <c:pt idx="7">
                  <c:v>104.94</c:v>
                </c:pt>
                <c:pt idx="8">
                  <c:v>56.43</c:v>
                </c:pt>
                <c:pt idx="9">
                  <c:v>78.209999999999994</c:v>
                </c:pt>
                <c:pt idx="10">
                  <c:v>42.57</c:v>
                </c:pt>
                <c:pt idx="11">
                  <c:v>98.01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0-4A94-A36A-1AC06F02EC47}"/>
            </c:ext>
          </c:extLst>
        </c:ser>
        <c:ser>
          <c:idx val="2"/>
          <c:order val="2"/>
          <c:tx>
            <c:strRef>
              <c:f>Objective!$AB$70:$AB$71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Objective!$Y$72:$Y$83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Objective!$AB$72:$AB$83</c:f>
              <c:numCache>
                <c:formatCode>General</c:formatCode>
                <c:ptCount val="12"/>
                <c:pt idx="0">
                  <c:v>85.14</c:v>
                </c:pt>
                <c:pt idx="1">
                  <c:v>59.4</c:v>
                </c:pt>
                <c:pt idx="2">
                  <c:v>125.73</c:v>
                </c:pt>
                <c:pt idx="3">
                  <c:v>115.83</c:v>
                </c:pt>
                <c:pt idx="4">
                  <c:v>104.94</c:v>
                </c:pt>
                <c:pt idx="5">
                  <c:v>92.07</c:v>
                </c:pt>
                <c:pt idx="6">
                  <c:v>124.74</c:v>
                </c:pt>
                <c:pt idx="7">
                  <c:v>158.4</c:v>
                </c:pt>
                <c:pt idx="8">
                  <c:v>124.74</c:v>
                </c:pt>
                <c:pt idx="9">
                  <c:v>43.56</c:v>
                </c:pt>
                <c:pt idx="10">
                  <c:v>71.28</c:v>
                </c:pt>
                <c:pt idx="11">
                  <c:v>110.88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0-4A94-A36A-1AC06F02EC47}"/>
            </c:ext>
          </c:extLst>
        </c:ser>
        <c:ser>
          <c:idx val="3"/>
          <c:order val="3"/>
          <c:tx>
            <c:strRef>
              <c:f>Objective!$AC$70:$AC$71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Objective!$Y$72:$Y$83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Objective!$AC$72:$AC$83</c:f>
              <c:numCache>
                <c:formatCode>General</c:formatCode>
                <c:ptCount val="12"/>
                <c:pt idx="0">
                  <c:v>43.56</c:v>
                </c:pt>
                <c:pt idx="1">
                  <c:v>97.02</c:v>
                </c:pt>
                <c:pt idx="2">
                  <c:v>78.209999999999994</c:v>
                </c:pt>
                <c:pt idx="3">
                  <c:v>119.79</c:v>
                </c:pt>
                <c:pt idx="4">
                  <c:v>81.180000000000007</c:v>
                </c:pt>
                <c:pt idx="5">
                  <c:v>120.78</c:v>
                </c:pt>
                <c:pt idx="6">
                  <c:v>76.23</c:v>
                </c:pt>
                <c:pt idx="7">
                  <c:v>72.27</c:v>
                </c:pt>
                <c:pt idx="8">
                  <c:v>95.04</c:v>
                </c:pt>
                <c:pt idx="9">
                  <c:v>144.54</c:v>
                </c:pt>
                <c:pt idx="10">
                  <c:v>82.17</c:v>
                </c:pt>
                <c:pt idx="11">
                  <c:v>125.73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70-4A94-A36A-1AC06F02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35520"/>
        <c:axId val="782923040"/>
      </c:lineChart>
      <c:catAx>
        <c:axId val="7829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23040"/>
        <c:crosses val="autoZero"/>
        <c:auto val="1"/>
        <c:lblAlgn val="ctr"/>
        <c:lblOffset val="100"/>
        <c:noMultiLvlLbl val="0"/>
      </c:catAx>
      <c:valAx>
        <c:axId val="7829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result.xlsx]Objective!PivotTable123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Tracks bought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Objective!$Z$85:$Z$86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Objective!$Y$87:$Y$98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Objective!$Z$87:$Z$98</c:f>
              <c:numCache>
                <c:formatCode>General</c:formatCode>
                <c:ptCount val="12"/>
                <c:pt idx="0">
                  <c:v>128</c:v>
                </c:pt>
                <c:pt idx="1">
                  <c:v>142</c:v>
                </c:pt>
                <c:pt idx="2">
                  <c:v>104</c:v>
                </c:pt>
                <c:pt idx="3">
                  <c:v>144</c:v>
                </c:pt>
                <c:pt idx="4">
                  <c:v>106</c:v>
                </c:pt>
                <c:pt idx="5">
                  <c:v>76</c:v>
                </c:pt>
                <c:pt idx="6">
                  <c:v>110</c:v>
                </c:pt>
                <c:pt idx="7">
                  <c:v>89</c:v>
                </c:pt>
                <c:pt idx="8">
                  <c:v>109</c:v>
                </c:pt>
                <c:pt idx="9">
                  <c:v>80</c:v>
                </c:pt>
                <c:pt idx="10">
                  <c:v>95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3-4E6A-886C-8033CF296BDA}"/>
            </c:ext>
          </c:extLst>
        </c:ser>
        <c:ser>
          <c:idx val="1"/>
          <c:order val="1"/>
          <c:tx>
            <c:strRef>
              <c:f>Objective!$AA$85:$AA$86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Objective!$Y$87:$Y$98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Objective!$AA$87:$AA$98</c:f>
              <c:numCache>
                <c:formatCode>General</c:formatCode>
                <c:ptCount val="12"/>
                <c:pt idx="0">
                  <c:v>185</c:v>
                </c:pt>
                <c:pt idx="1">
                  <c:v>118</c:v>
                </c:pt>
                <c:pt idx="2">
                  <c:v>150</c:v>
                </c:pt>
                <c:pt idx="3">
                  <c:v>64</c:v>
                </c:pt>
                <c:pt idx="4">
                  <c:v>76</c:v>
                </c:pt>
                <c:pt idx="5">
                  <c:v>93</c:v>
                </c:pt>
                <c:pt idx="6">
                  <c:v>86</c:v>
                </c:pt>
                <c:pt idx="7">
                  <c:v>106</c:v>
                </c:pt>
                <c:pt idx="8">
                  <c:v>57</c:v>
                </c:pt>
                <c:pt idx="9">
                  <c:v>79</c:v>
                </c:pt>
                <c:pt idx="10">
                  <c:v>43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3-4E6A-886C-8033CF296BDA}"/>
            </c:ext>
          </c:extLst>
        </c:ser>
        <c:ser>
          <c:idx val="2"/>
          <c:order val="2"/>
          <c:tx>
            <c:strRef>
              <c:f>Objective!$AB$85:$AB$86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Objective!$Y$87:$Y$98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Objective!$AB$87:$AB$98</c:f>
              <c:numCache>
                <c:formatCode>General</c:formatCode>
                <c:ptCount val="12"/>
                <c:pt idx="0">
                  <c:v>86</c:v>
                </c:pt>
                <c:pt idx="1">
                  <c:v>60</c:v>
                </c:pt>
                <c:pt idx="2">
                  <c:v>127</c:v>
                </c:pt>
                <c:pt idx="3">
                  <c:v>117</c:v>
                </c:pt>
                <c:pt idx="4">
                  <c:v>106</c:v>
                </c:pt>
                <c:pt idx="5">
                  <c:v>93</c:v>
                </c:pt>
                <c:pt idx="6">
                  <c:v>126</c:v>
                </c:pt>
                <c:pt idx="7">
                  <c:v>160</c:v>
                </c:pt>
                <c:pt idx="8">
                  <c:v>126</c:v>
                </c:pt>
                <c:pt idx="9">
                  <c:v>44</c:v>
                </c:pt>
                <c:pt idx="10">
                  <c:v>72</c:v>
                </c:pt>
                <c:pt idx="11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23-4E6A-886C-8033CF296BDA}"/>
            </c:ext>
          </c:extLst>
        </c:ser>
        <c:ser>
          <c:idx val="3"/>
          <c:order val="3"/>
          <c:tx>
            <c:strRef>
              <c:f>Objective!$AC$85:$AC$86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Objective!$Y$87:$Y$98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Objective!$AC$87:$AC$98</c:f>
              <c:numCache>
                <c:formatCode>General</c:formatCode>
                <c:ptCount val="12"/>
                <c:pt idx="0">
                  <c:v>44</c:v>
                </c:pt>
                <c:pt idx="1">
                  <c:v>98</c:v>
                </c:pt>
                <c:pt idx="2">
                  <c:v>79</c:v>
                </c:pt>
                <c:pt idx="3">
                  <c:v>121</c:v>
                </c:pt>
                <c:pt idx="4">
                  <c:v>82</c:v>
                </c:pt>
                <c:pt idx="5">
                  <c:v>122</c:v>
                </c:pt>
                <c:pt idx="6">
                  <c:v>77</c:v>
                </c:pt>
                <c:pt idx="7">
                  <c:v>73</c:v>
                </c:pt>
                <c:pt idx="8">
                  <c:v>96</c:v>
                </c:pt>
                <c:pt idx="9">
                  <c:v>146</c:v>
                </c:pt>
                <c:pt idx="10">
                  <c:v>83</c:v>
                </c:pt>
                <c:pt idx="1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23-4E6A-886C-8033CF296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33600"/>
        <c:axId val="782928800"/>
      </c:lineChart>
      <c:catAx>
        <c:axId val="7829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28800"/>
        <c:crosses val="autoZero"/>
        <c:auto val="1"/>
        <c:lblAlgn val="ctr"/>
        <c:lblOffset val="100"/>
        <c:noMultiLvlLbl val="0"/>
      </c:catAx>
      <c:valAx>
        <c:axId val="7829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Objective!$AI$2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F-42D8-AADD-8792D1591D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F-42D8-AADD-8792D1591D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FF-42D8-AADD-8792D1591D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Objective!$AH$3:$AH$5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Objective!$AI$3:$AI$5</c:f>
              <c:numCache>
                <c:formatCode>General</c:formatCode>
                <c:ptCount val="3"/>
                <c:pt idx="0">
                  <c:v>19.3</c:v>
                </c:pt>
                <c:pt idx="1">
                  <c:v>22.92</c:v>
                </c:pt>
                <c:pt idx="2">
                  <c:v>16.22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2-4135-84AC-F3963F4DF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Objective!$AM$2</c:f>
              <c:strCache>
                <c:ptCount val="1"/>
                <c:pt idx="0">
                  <c:v>genre_percent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Objective!$AL$3:$AL$19</c:f>
              <c:strCache>
                <c:ptCount val="17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  <c:pt idx="5">
                  <c:v>Alternative</c:v>
                </c:pt>
                <c:pt idx="6">
                  <c:v>Latin</c:v>
                </c:pt>
                <c:pt idx="7">
                  <c:v>Pop</c:v>
                </c:pt>
                <c:pt idx="8">
                  <c:v>Hip Hop/Rap</c:v>
                </c:pt>
                <c:pt idx="9">
                  <c:v>Jazz</c:v>
                </c:pt>
                <c:pt idx="10">
                  <c:v>Easy Listening</c:v>
                </c:pt>
                <c:pt idx="11">
                  <c:v>Reggae</c:v>
                </c:pt>
                <c:pt idx="12">
                  <c:v>Electronica/Dance</c:v>
                </c:pt>
                <c:pt idx="13">
                  <c:v>Classical</c:v>
                </c:pt>
                <c:pt idx="14">
                  <c:v>Heavy Metal</c:v>
                </c:pt>
                <c:pt idx="15">
                  <c:v>Soundtrack</c:v>
                </c:pt>
                <c:pt idx="16">
                  <c:v>TV Shows</c:v>
                </c:pt>
              </c:strCache>
            </c:strRef>
          </c:cat>
          <c:val>
            <c:numRef>
              <c:f>Objective!$AM$3:$AM$19</c:f>
              <c:numCache>
                <c:formatCode>General</c:formatCode>
                <c:ptCount val="17"/>
                <c:pt idx="0">
                  <c:v>53.43</c:v>
                </c:pt>
                <c:pt idx="1">
                  <c:v>12.29</c:v>
                </c:pt>
                <c:pt idx="2">
                  <c:v>11.81</c:v>
                </c:pt>
                <c:pt idx="3">
                  <c:v>5.05</c:v>
                </c:pt>
                <c:pt idx="4">
                  <c:v>3.43</c:v>
                </c:pt>
                <c:pt idx="5">
                  <c:v>3.33</c:v>
                </c:pt>
                <c:pt idx="6">
                  <c:v>2.1</c:v>
                </c:pt>
                <c:pt idx="7">
                  <c:v>2.1</c:v>
                </c:pt>
                <c:pt idx="8">
                  <c:v>1.9</c:v>
                </c:pt>
                <c:pt idx="9">
                  <c:v>1.33</c:v>
                </c:pt>
                <c:pt idx="10">
                  <c:v>1.24</c:v>
                </c:pt>
                <c:pt idx="11">
                  <c:v>0.56999999999999995</c:v>
                </c:pt>
                <c:pt idx="12">
                  <c:v>0.48</c:v>
                </c:pt>
                <c:pt idx="13">
                  <c:v>0.38</c:v>
                </c:pt>
                <c:pt idx="14">
                  <c:v>0.28999999999999998</c:v>
                </c:pt>
                <c:pt idx="15">
                  <c:v>0.19</c:v>
                </c:pt>
                <c:pt idx="1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8-46B9-B026-93A86F55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399872"/>
        <c:axId val="625401312"/>
      </c:barChart>
      <c:catAx>
        <c:axId val="62539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1312"/>
        <c:crosses val="autoZero"/>
        <c:auto val="1"/>
        <c:lblAlgn val="ctr"/>
        <c:lblOffset val="100"/>
        <c:noMultiLvlLbl val="0"/>
      </c:catAx>
      <c:valAx>
        <c:axId val="6254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Objective!$AW$2</c:f>
              <c:strCache>
                <c:ptCount val="1"/>
                <c:pt idx="0">
                  <c:v>genre_revenue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Objective!$AV$3:$AV$19</c:f>
              <c:strCache>
                <c:ptCount val="17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  <c:pt idx="5">
                  <c:v>Alternative</c:v>
                </c:pt>
                <c:pt idx="6">
                  <c:v>Latin</c:v>
                </c:pt>
                <c:pt idx="7">
                  <c:v>Pop</c:v>
                </c:pt>
                <c:pt idx="8">
                  <c:v>Hip Hop/Rap</c:v>
                </c:pt>
                <c:pt idx="9">
                  <c:v>Jazz</c:v>
                </c:pt>
                <c:pt idx="10">
                  <c:v>Easy Listening</c:v>
                </c:pt>
                <c:pt idx="11">
                  <c:v>Reggae</c:v>
                </c:pt>
                <c:pt idx="12">
                  <c:v>Electronica/Dance</c:v>
                </c:pt>
                <c:pt idx="13">
                  <c:v>Classical</c:v>
                </c:pt>
                <c:pt idx="14">
                  <c:v>Heavy Metal</c:v>
                </c:pt>
                <c:pt idx="15">
                  <c:v>Soundtrack</c:v>
                </c:pt>
                <c:pt idx="16">
                  <c:v>TV Shows</c:v>
                </c:pt>
              </c:strCache>
            </c:strRef>
          </c:cat>
          <c:val>
            <c:numRef>
              <c:f>Objective!$AW$3:$AW$19</c:f>
              <c:numCache>
                <c:formatCode>General</c:formatCode>
                <c:ptCount val="17"/>
                <c:pt idx="0">
                  <c:v>555.39</c:v>
                </c:pt>
                <c:pt idx="1">
                  <c:v>127.71</c:v>
                </c:pt>
                <c:pt idx="2">
                  <c:v>122.76</c:v>
                </c:pt>
                <c:pt idx="3">
                  <c:v>52.47</c:v>
                </c:pt>
                <c:pt idx="4">
                  <c:v>35.64</c:v>
                </c:pt>
                <c:pt idx="5">
                  <c:v>34.65</c:v>
                </c:pt>
                <c:pt idx="6">
                  <c:v>21.78</c:v>
                </c:pt>
                <c:pt idx="7">
                  <c:v>21.78</c:v>
                </c:pt>
                <c:pt idx="8">
                  <c:v>19.8</c:v>
                </c:pt>
                <c:pt idx="9">
                  <c:v>13.86</c:v>
                </c:pt>
                <c:pt idx="10">
                  <c:v>12.87</c:v>
                </c:pt>
                <c:pt idx="11">
                  <c:v>5.94</c:v>
                </c:pt>
                <c:pt idx="12">
                  <c:v>4.95</c:v>
                </c:pt>
                <c:pt idx="13">
                  <c:v>3.96</c:v>
                </c:pt>
                <c:pt idx="14">
                  <c:v>2.97</c:v>
                </c:pt>
                <c:pt idx="15">
                  <c:v>1.98</c:v>
                </c:pt>
                <c:pt idx="16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6-46B5-8D8C-926DA78501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5408992"/>
        <c:axId val="625409472"/>
      </c:barChart>
      <c:catAx>
        <c:axId val="62540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9472"/>
        <c:crosses val="autoZero"/>
        <c:auto val="1"/>
        <c:lblAlgn val="ctr"/>
        <c:lblOffset val="100"/>
        <c:noMultiLvlLbl val="0"/>
      </c:catAx>
      <c:valAx>
        <c:axId val="62540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Subjective!$D$3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Subjective!$C$4:$C$6</c:f>
              <c:strCache>
                <c:ptCount val="3"/>
                <c:pt idx="0">
                  <c:v>Appetite for Destruction</c:v>
                </c:pt>
                <c:pt idx="1">
                  <c:v>Beyond Good And Evil</c:v>
                </c:pt>
                <c:pt idx="2">
                  <c:v>Stormbringer</c:v>
                </c:pt>
              </c:strCache>
            </c:strRef>
          </c:cat>
          <c:val>
            <c:numRef>
              <c:f>Subjective!$D$4:$D$6</c:f>
              <c:numCache>
                <c:formatCode>General</c:formatCode>
                <c:ptCount val="3"/>
                <c:pt idx="0">
                  <c:v>32.67</c:v>
                </c:pt>
                <c:pt idx="1">
                  <c:v>14.85</c:v>
                </c:pt>
                <c:pt idx="2">
                  <c:v>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E-4D95-A5D9-FCC080C401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1921312"/>
        <c:axId val="681921792"/>
      </c:barChart>
      <c:catAx>
        <c:axId val="6819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21792"/>
        <c:crosses val="autoZero"/>
        <c:auto val="1"/>
        <c:lblAlgn val="ctr"/>
        <c:lblOffset val="100"/>
        <c:noMultiLvlLbl val="0"/>
      </c:catAx>
      <c:valAx>
        <c:axId val="6819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result.xlsx]Subjective!PivotTable32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genre per</a:t>
            </a:r>
            <a:r>
              <a:rPr lang="en-US" baseline="0"/>
              <a:t>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Subjective!$B$36:$B$61</c:f>
              <c:multiLvlStrCache>
                <c:ptCount val="23"/>
                <c:lvl>
                  <c:pt idx="0">
                    <c:v>Argentina</c:v>
                  </c:pt>
                  <c:pt idx="1">
                    <c:v>Australia</c:v>
                  </c:pt>
                  <c:pt idx="2">
                    <c:v>Austria</c:v>
                  </c:pt>
                  <c:pt idx="3">
                    <c:v>Belgium</c:v>
                  </c:pt>
                  <c:pt idx="4">
                    <c:v>Brazil</c:v>
                  </c:pt>
                  <c:pt idx="5">
                    <c:v>Canada</c:v>
                  </c:pt>
                  <c:pt idx="6">
                    <c:v>Chile</c:v>
                  </c:pt>
                  <c:pt idx="7">
                    <c:v>Czech Republic</c:v>
                  </c:pt>
                  <c:pt idx="8">
                    <c:v>Denmark</c:v>
                  </c:pt>
                  <c:pt idx="9">
                    <c:v>Finland</c:v>
                  </c:pt>
                  <c:pt idx="10">
                    <c:v>France</c:v>
                  </c:pt>
                  <c:pt idx="11">
                    <c:v>Germany</c:v>
                  </c:pt>
                  <c:pt idx="12">
                    <c:v>Hungary</c:v>
                  </c:pt>
                  <c:pt idx="13">
                    <c:v>India</c:v>
                  </c:pt>
                  <c:pt idx="14">
                    <c:v>Ireland</c:v>
                  </c:pt>
                  <c:pt idx="15">
                    <c:v>Italy</c:v>
                  </c:pt>
                  <c:pt idx="16">
                    <c:v>Netherlands</c:v>
                  </c:pt>
                  <c:pt idx="17">
                    <c:v>Norway</c:v>
                  </c:pt>
                  <c:pt idx="18">
                    <c:v>Poland</c:v>
                  </c:pt>
                  <c:pt idx="19">
                    <c:v>Portugal</c:v>
                  </c:pt>
                  <c:pt idx="20">
                    <c:v>Spain</c:v>
                  </c:pt>
                  <c:pt idx="21">
                    <c:v>Sweden</c:v>
                  </c:pt>
                  <c:pt idx="22">
                    <c:v>United Kingdom</c:v>
                  </c:pt>
                </c:lvl>
                <c:lvl>
                  <c:pt idx="0">
                    <c:v>Alternative &amp; Punk</c:v>
                  </c:pt>
                  <c:pt idx="1">
                    <c:v>Rock</c:v>
                  </c:pt>
                </c:lvl>
              </c:multiLvlStrCache>
            </c:multiLvlStrRef>
          </c:cat>
          <c:val>
            <c:numRef>
              <c:f>Subjective!$C$36:$C$61</c:f>
              <c:numCache>
                <c:formatCode>General</c:formatCode>
                <c:ptCount val="23"/>
                <c:pt idx="0">
                  <c:v>16.829999999999998</c:v>
                </c:pt>
                <c:pt idx="1">
                  <c:v>33.659999999999997</c:v>
                </c:pt>
                <c:pt idx="2">
                  <c:v>39.6</c:v>
                </c:pt>
                <c:pt idx="3">
                  <c:v>25.74</c:v>
                </c:pt>
                <c:pt idx="4">
                  <c:v>202.95</c:v>
                </c:pt>
                <c:pt idx="5">
                  <c:v>329.67</c:v>
                </c:pt>
                <c:pt idx="6">
                  <c:v>60.39</c:v>
                </c:pt>
                <c:pt idx="7">
                  <c:v>141.57</c:v>
                </c:pt>
                <c:pt idx="8">
                  <c:v>23.76</c:v>
                </c:pt>
                <c:pt idx="9">
                  <c:v>45.54</c:v>
                </c:pt>
                <c:pt idx="10">
                  <c:v>207.9</c:v>
                </c:pt>
                <c:pt idx="11">
                  <c:v>192.06</c:v>
                </c:pt>
                <c:pt idx="12">
                  <c:v>43.56</c:v>
                </c:pt>
                <c:pt idx="13">
                  <c:v>100.98</c:v>
                </c:pt>
                <c:pt idx="14">
                  <c:v>70.290000000000006</c:v>
                </c:pt>
                <c:pt idx="15">
                  <c:v>34.65</c:v>
                </c:pt>
                <c:pt idx="16">
                  <c:v>31.68</c:v>
                </c:pt>
                <c:pt idx="17">
                  <c:v>39.6</c:v>
                </c:pt>
                <c:pt idx="18">
                  <c:v>38.61</c:v>
                </c:pt>
                <c:pt idx="19">
                  <c:v>106.92</c:v>
                </c:pt>
                <c:pt idx="20">
                  <c:v>45.54</c:v>
                </c:pt>
                <c:pt idx="21">
                  <c:v>59.4</c:v>
                </c:pt>
                <c:pt idx="22">
                  <c:v>164.34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C-407A-A94A-DA6CD8838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878112"/>
        <c:axId val="681894912"/>
      </c:barChart>
      <c:catAx>
        <c:axId val="68187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94912"/>
        <c:crosses val="autoZero"/>
        <c:auto val="1"/>
        <c:lblAlgn val="ctr"/>
        <c:lblOffset val="100"/>
        <c:noMultiLvlLbl val="0"/>
      </c:catAx>
      <c:valAx>
        <c:axId val="6818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7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result.xlsx]Subjective!PivotTable33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Purchasing behavior b/w</a:t>
            </a:r>
            <a:r>
              <a:rPr lang="en-IN" baseline="0"/>
              <a:t> new and old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Subjective!$C$65</c:f>
              <c:strCache>
                <c:ptCount val="1"/>
                <c:pt idx="0">
                  <c:v>Avg_freq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Subjective!$B$66:$B$67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Subjective!$C$66:$C$67</c:f>
              <c:numCache>
                <c:formatCode>0.0000</c:formatCode>
                <c:ptCount val="2"/>
                <c:pt idx="0">
                  <c:v>0.51019322033898307</c:v>
                </c:pt>
                <c:pt idx="1">
                  <c:v>0.29195423728813552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2-40C2-B356-C979F98A1F7B}"/>
            </c:ext>
          </c:extLst>
        </c:ser>
        <c:ser>
          <c:idx val="1"/>
          <c:order val="1"/>
          <c:tx>
            <c:strRef>
              <c:f>Subjective!$D$65</c:f>
              <c:strCache>
                <c:ptCount val="1"/>
                <c:pt idx="0">
                  <c:v>avg_size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Subjective!$B$66:$B$67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Subjective!$D$66:$D$67</c:f>
              <c:numCache>
                <c:formatCode>0.0000</c:formatCode>
                <c:ptCount val="2"/>
                <c:pt idx="0">
                  <c:v>7.9998305084745756</c:v>
                </c:pt>
                <c:pt idx="1">
                  <c:v>7.7654237288135608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2-40C2-B356-C979F98A1F7B}"/>
            </c:ext>
          </c:extLst>
        </c:ser>
        <c:ser>
          <c:idx val="2"/>
          <c:order val="2"/>
          <c:tx>
            <c:strRef>
              <c:f>Subjective!$E$65</c:f>
              <c:strCache>
                <c:ptCount val="1"/>
                <c:pt idx="0">
                  <c:v>avg_spend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Subjective!$B$66:$B$67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Subjective!$E$66:$E$67</c:f>
              <c:numCache>
                <c:formatCode>0.0000</c:formatCode>
                <c:ptCount val="2"/>
                <c:pt idx="0">
                  <c:v>7.9347457627118647</c:v>
                </c:pt>
                <c:pt idx="1">
                  <c:v>7.7089830508474568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2-40C2-B356-C979F98A1F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038800"/>
        <c:axId val="864049840"/>
      </c:barChart>
      <c:catAx>
        <c:axId val="8640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49840"/>
        <c:crosses val="autoZero"/>
        <c:auto val="1"/>
        <c:lblAlgn val="ctr"/>
        <c:lblOffset val="100"/>
        <c:noMultiLvlLbl val="0"/>
      </c:catAx>
      <c:valAx>
        <c:axId val="8640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3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Albums pairs_count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Subjective!$T$3</c:f>
              <c:strCache>
                <c:ptCount val="1"/>
                <c:pt idx="0">
                  <c:v>pairs_count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Subjective!$R$4:$S$8</c:f>
              <c:multiLvlStrCache>
                <c:ptCount val="5"/>
                <c:lvl>
                  <c:pt idx="0">
                    <c:v>Mezmerize</c:v>
                  </c:pt>
                  <c:pt idx="1">
                    <c:v>Mezmerize</c:v>
                  </c:pt>
                  <c:pt idx="2">
                    <c:v>The Police Greatest Hits</c:v>
                  </c:pt>
                  <c:pt idx="3">
                    <c:v>My Generation - The Very Best Of The Who</c:v>
                  </c:pt>
                  <c:pt idx="4">
                    <c:v>The Singles</c:v>
                  </c:pt>
                </c:lvl>
                <c:lvl>
                  <c:pt idx="0">
                    <c:v>Are You Experienced?</c:v>
                  </c:pt>
                  <c:pt idx="1">
                    <c:v>Vault: Def Leppard's Greatest Hits</c:v>
                  </c:pt>
                  <c:pt idx="2">
                    <c:v>My Way: The Best Of Frank Sinatra [Disc 1]</c:v>
                  </c:pt>
                  <c:pt idx="3">
                    <c:v>Mezmerize</c:v>
                  </c:pt>
                  <c:pt idx="4">
                    <c:v>Dark Side Of The Moon</c:v>
                  </c:pt>
                </c:lvl>
              </c:multiLvlStrCache>
            </c:multiLvlStrRef>
          </c:cat>
          <c:val>
            <c:numRef>
              <c:f>Subjective!$T$4:$T$8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B-45DB-B7D1-3EA717981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1925152"/>
        <c:axId val="681925632"/>
      </c:barChart>
      <c:catAx>
        <c:axId val="68192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25632"/>
        <c:crosses val="autoZero"/>
        <c:auto val="1"/>
        <c:lblAlgn val="ctr"/>
        <c:lblOffset val="100"/>
        <c:noMultiLvlLbl val="0"/>
      </c:catAx>
      <c:valAx>
        <c:axId val="6819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2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Genre pairs_count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Subjective!$T$12</c:f>
              <c:strCache>
                <c:ptCount val="1"/>
                <c:pt idx="0">
                  <c:v>pairs_count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Subjective!$R$13:$S$17</c:f>
              <c:multiLvlStrCache>
                <c:ptCount val="5"/>
                <c:lvl>
                  <c:pt idx="0">
                    <c:v>Metal</c:v>
                  </c:pt>
                  <c:pt idx="1">
                    <c:v>Alternative &amp; Punk</c:v>
                  </c:pt>
                  <c:pt idx="2">
                    <c:v>Alternative &amp; Punk</c:v>
                  </c:pt>
                  <c:pt idx="3">
                    <c:v>Latin</c:v>
                  </c:pt>
                  <c:pt idx="4">
                    <c:v>R&amp;B/Soul</c:v>
                  </c:pt>
                </c:lvl>
                <c:lvl>
                  <c:pt idx="0">
                    <c:v>Rock</c:v>
                  </c:pt>
                  <c:pt idx="1">
                    <c:v>Rock</c:v>
                  </c:pt>
                  <c:pt idx="2">
                    <c:v>Metal</c:v>
                  </c:pt>
                  <c:pt idx="3">
                    <c:v>Rock</c:v>
                  </c:pt>
                  <c:pt idx="4">
                    <c:v>Rock</c:v>
                  </c:pt>
                </c:lvl>
              </c:multiLvlStrCache>
            </c:multiLvlStrRef>
          </c:cat>
          <c:val>
            <c:numRef>
              <c:f>Subjective!$T$13:$T$17</c:f>
              <c:numCache>
                <c:formatCode>General</c:formatCode>
                <c:ptCount val="5"/>
                <c:pt idx="0">
                  <c:v>268</c:v>
                </c:pt>
                <c:pt idx="1">
                  <c:v>202</c:v>
                </c:pt>
                <c:pt idx="2">
                  <c:v>144</c:v>
                </c:pt>
                <c:pt idx="3">
                  <c:v>104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7-462A-937B-C9094731A1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055600"/>
        <c:axId val="864056080"/>
      </c:barChart>
      <c:catAx>
        <c:axId val="8640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56080"/>
        <c:crosses val="autoZero"/>
        <c:auto val="1"/>
        <c:lblAlgn val="ctr"/>
        <c:lblOffset val="100"/>
        <c:noMultiLvlLbl val="0"/>
      </c:catAx>
      <c:valAx>
        <c:axId val="8640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Artist pairs_count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Subjective!$T$21</c:f>
              <c:strCache>
                <c:ptCount val="1"/>
                <c:pt idx="0">
                  <c:v>pairs_count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Subjective!$R$22:$S$26</c:f>
              <c:multiLvlStrCache>
                <c:ptCount val="5"/>
                <c:lvl>
                  <c:pt idx="0">
                    <c:v>Green Day</c:v>
                  </c:pt>
                  <c:pt idx="1">
                    <c:v>Foo Fighters</c:v>
                  </c:pt>
                  <c:pt idx="2">
                    <c:v>Nirvana</c:v>
                  </c:pt>
                  <c:pt idx="3">
                    <c:v>U2</c:v>
                  </c:pt>
                  <c:pt idx="4">
                    <c:v>Green Day</c:v>
                  </c:pt>
                </c:lvl>
                <c:lvl>
                  <c:pt idx="0">
                    <c:v>Led Zeppelin</c:v>
                  </c:pt>
                  <c:pt idx="1">
                    <c:v>Green Day</c:v>
                  </c:pt>
                  <c:pt idx="2">
                    <c:v>Eric Clapton</c:v>
                  </c:pt>
                  <c:pt idx="3">
                    <c:v>Queen</c:v>
                  </c:pt>
                  <c:pt idx="4">
                    <c:v>Queen</c:v>
                  </c:pt>
                </c:lvl>
              </c:multiLvlStrCache>
            </c:multiLvlStrRef>
          </c:cat>
          <c:val>
            <c:numRef>
              <c:f>Subjective!$T$22:$T$26</c:f>
              <c:numCache>
                <c:formatCode>General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3-4E8C-834E-21E0D8D2C0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713056"/>
        <c:axId val="433724576"/>
      </c:barChart>
      <c:catAx>
        <c:axId val="4337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24576"/>
        <c:crosses val="autoZero"/>
        <c:auto val="1"/>
        <c:lblAlgn val="ctr"/>
        <c:lblOffset val="100"/>
        <c:noMultiLvlLbl val="0"/>
      </c:catAx>
      <c:valAx>
        <c:axId val="43372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Subjective!$Y$3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Subjective!$X$4:$X$27</c:f>
              <c:strCache>
                <c:ptCount val="24"/>
                <c:pt idx="0">
                  <c:v>Brazil</c:v>
                </c:pt>
                <c:pt idx="1">
                  <c:v>Germany</c:v>
                </c:pt>
                <c:pt idx="2">
                  <c:v>Canada</c:v>
                </c:pt>
                <c:pt idx="3">
                  <c:v>Norway</c:v>
                </c:pt>
                <c:pt idx="4">
                  <c:v>Czech Republic</c:v>
                </c:pt>
                <c:pt idx="5">
                  <c:v>Austria</c:v>
                </c:pt>
                <c:pt idx="6">
                  <c:v>Belgium</c:v>
                </c:pt>
                <c:pt idx="7">
                  <c:v>Denmark</c:v>
                </c:pt>
                <c:pt idx="8">
                  <c:v>USA</c:v>
                </c:pt>
                <c:pt idx="9">
                  <c:v>Portugal</c:v>
                </c:pt>
                <c:pt idx="10">
                  <c:v>France</c:v>
                </c:pt>
                <c:pt idx="11">
                  <c:v>Finland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Netherlands</c:v>
                </c:pt>
                <c:pt idx="16">
                  <c:v>Poland</c:v>
                </c:pt>
                <c:pt idx="17">
                  <c:v>Spain</c:v>
                </c:pt>
                <c:pt idx="18">
                  <c:v>Sweden</c:v>
                </c:pt>
                <c:pt idx="19">
                  <c:v>United Kingdom</c:v>
                </c:pt>
                <c:pt idx="20">
                  <c:v>Australia</c:v>
                </c:pt>
                <c:pt idx="21">
                  <c:v>Argentina</c:v>
                </c:pt>
                <c:pt idx="22">
                  <c:v>Chile</c:v>
                </c:pt>
                <c:pt idx="23">
                  <c:v>India</c:v>
                </c:pt>
              </c:strCache>
            </c:strRef>
          </c:cat>
          <c:val>
            <c:numRef>
              <c:f>Subjective!$Y$4:$Y$27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13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2-4A9A-B641-2086BBFF7D65}"/>
            </c:ext>
          </c:extLst>
        </c:ser>
        <c:ser>
          <c:idx val="1"/>
          <c:order val="1"/>
          <c:tx>
            <c:strRef>
              <c:f>Subjective!$Z$3</c:f>
              <c:strCache>
                <c:ptCount val="1"/>
                <c:pt idx="0">
                  <c:v>country_freq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Subjective!$X$4:$X$27</c:f>
              <c:strCache>
                <c:ptCount val="24"/>
                <c:pt idx="0">
                  <c:v>Brazil</c:v>
                </c:pt>
                <c:pt idx="1">
                  <c:v>Germany</c:v>
                </c:pt>
                <c:pt idx="2">
                  <c:v>Canada</c:v>
                </c:pt>
                <c:pt idx="3">
                  <c:v>Norway</c:v>
                </c:pt>
                <c:pt idx="4">
                  <c:v>Czech Republic</c:v>
                </c:pt>
                <c:pt idx="5">
                  <c:v>Austria</c:v>
                </c:pt>
                <c:pt idx="6">
                  <c:v>Belgium</c:v>
                </c:pt>
                <c:pt idx="7">
                  <c:v>Denmark</c:v>
                </c:pt>
                <c:pt idx="8">
                  <c:v>USA</c:v>
                </c:pt>
                <c:pt idx="9">
                  <c:v>Portugal</c:v>
                </c:pt>
                <c:pt idx="10">
                  <c:v>France</c:v>
                </c:pt>
                <c:pt idx="11">
                  <c:v>Finland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Netherlands</c:v>
                </c:pt>
                <c:pt idx="16">
                  <c:v>Poland</c:v>
                </c:pt>
                <c:pt idx="17">
                  <c:v>Spain</c:v>
                </c:pt>
                <c:pt idx="18">
                  <c:v>Sweden</c:v>
                </c:pt>
                <c:pt idx="19">
                  <c:v>United Kingdom</c:v>
                </c:pt>
                <c:pt idx="20">
                  <c:v>Australia</c:v>
                </c:pt>
                <c:pt idx="21">
                  <c:v>Argentina</c:v>
                </c:pt>
                <c:pt idx="22">
                  <c:v>Chile</c:v>
                </c:pt>
                <c:pt idx="23">
                  <c:v>India</c:v>
                </c:pt>
              </c:strCache>
            </c:strRef>
          </c:cat>
          <c:val>
            <c:numRef>
              <c:f>Subjective!$Z$4:$Z$27</c:f>
              <c:numCache>
                <c:formatCode>General</c:formatCode>
                <c:ptCount val="24"/>
                <c:pt idx="0">
                  <c:v>0.30099999999999999</c:v>
                </c:pt>
                <c:pt idx="1">
                  <c:v>0.253</c:v>
                </c:pt>
                <c:pt idx="2">
                  <c:v>0.222</c:v>
                </c:pt>
                <c:pt idx="3">
                  <c:v>0.25</c:v>
                </c:pt>
                <c:pt idx="4">
                  <c:v>0.372</c:v>
                </c:pt>
                <c:pt idx="5">
                  <c:v>0.25</c:v>
                </c:pt>
                <c:pt idx="6">
                  <c:v>0.26900000000000002</c:v>
                </c:pt>
                <c:pt idx="7">
                  <c:v>0.27800000000000002</c:v>
                </c:pt>
                <c:pt idx="8">
                  <c:v>0.24</c:v>
                </c:pt>
                <c:pt idx="9">
                  <c:v>0.318</c:v>
                </c:pt>
                <c:pt idx="10">
                  <c:v>0.245</c:v>
                </c:pt>
                <c:pt idx="11">
                  <c:v>0.23400000000000001</c:v>
                </c:pt>
                <c:pt idx="12">
                  <c:v>0.222</c:v>
                </c:pt>
                <c:pt idx="13">
                  <c:v>0.28299999999999997</c:v>
                </c:pt>
                <c:pt idx="14">
                  <c:v>0.214</c:v>
                </c:pt>
                <c:pt idx="15">
                  <c:v>0.28599999999999998</c:v>
                </c:pt>
                <c:pt idx="16">
                  <c:v>0.20799999999999999</c:v>
                </c:pt>
                <c:pt idx="17">
                  <c:v>0.28199999999999997</c:v>
                </c:pt>
                <c:pt idx="18">
                  <c:v>0.222</c:v>
                </c:pt>
                <c:pt idx="19">
                  <c:v>0.23100000000000001</c:v>
                </c:pt>
                <c:pt idx="20">
                  <c:v>0.21299999999999999</c:v>
                </c:pt>
                <c:pt idx="21">
                  <c:v>0.185</c:v>
                </c:pt>
                <c:pt idx="22">
                  <c:v>0.33300000000000002</c:v>
                </c:pt>
                <c:pt idx="23">
                  <c:v>0.24199999999999999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2-4A9A-B641-2086BBFF7D65}"/>
            </c:ext>
          </c:extLst>
        </c:ser>
        <c:ser>
          <c:idx val="2"/>
          <c:order val="2"/>
          <c:tx>
            <c:strRef>
              <c:f>Subjective!$AA$3</c:f>
              <c:strCache>
                <c:ptCount val="1"/>
                <c:pt idx="0">
                  <c:v>country_basket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Subjective!$X$4:$X$27</c:f>
              <c:strCache>
                <c:ptCount val="24"/>
                <c:pt idx="0">
                  <c:v>Brazil</c:v>
                </c:pt>
                <c:pt idx="1">
                  <c:v>Germany</c:v>
                </c:pt>
                <c:pt idx="2">
                  <c:v>Canada</c:v>
                </c:pt>
                <c:pt idx="3">
                  <c:v>Norway</c:v>
                </c:pt>
                <c:pt idx="4">
                  <c:v>Czech Republic</c:v>
                </c:pt>
                <c:pt idx="5">
                  <c:v>Austria</c:v>
                </c:pt>
                <c:pt idx="6">
                  <c:v>Belgium</c:v>
                </c:pt>
                <c:pt idx="7">
                  <c:v>Denmark</c:v>
                </c:pt>
                <c:pt idx="8">
                  <c:v>USA</c:v>
                </c:pt>
                <c:pt idx="9">
                  <c:v>Portugal</c:v>
                </c:pt>
                <c:pt idx="10">
                  <c:v>France</c:v>
                </c:pt>
                <c:pt idx="11">
                  <c:v>Finland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Netherlands</c:v>
                </c:pt>
                <c:pt idx="16">
                  <c:v>Poland</c:v>
                </c:pt>
                <c:pt idx="17">
                  <c:v>Spain</c:v>
                </c:pt>
                <c:pt idx="18">
                  <c:v>Sweden</c:v>
                </c:pt>
                <c:pt idx="19">
                  <c:v>United Kingdom</c:v>
                </c:pt>
                <c:pt idx="20">
                  <c:v>Australia</c:v>
                </c:pt>
                <c:pt idx="21">
                  <c:v>Argentina</c:v>
                </c:pt>
                <c:pt idx="22">
                  <c:v>Chile</c:v>
                </c:pt>
                <c:pt idx="23">
                  <c:v>India</c:v>
                </c:pt>
              </c:strCache>
            </c:strRef>
          </c:cat>
          <c:val>
            <c:numRef>
              <c:f>Subjective!$AA$4:$AA$27</c:f>
              <c:numCache>
                <c:formatCode>General</c:formatCode>
                <c:ptCount val="24"/>
                <c:pt idx="0">
                  <c:v>7.01</c:v>
                </c:pt>
                <c:pt idx="1">
                  <c:v>8.25</c:v>
                </c:pt>
                <c:pt idx="2">
                  <c:v>7.48</c:v>
                </c:pt>
                <c:pt idx="3">
                  <c:v>8.11</c:v>
                </c:pt>
                <c:pt idx="4">
                  <c:v>9.4700000000000006</c:v>
                </c:pt>
                <c:pt idx="5">
                  <c:v>7.78</c:v>
                </c:pt>
                <c:pt idx="6">
                  <c:v>8.7100000000000009</c:v>
                </c:pt>
                <c:pt idx="7">
                  <c:v>3.8</c:v>
                </c:pt>
                <c:pt idx="8">
                  <c:v>8.09</c:v>
                </c:pt>
                <c:pt idx="9">
                  <c:v>6.56</c:v>
                </c:pt>
                <c:pt idx="10">
                  <c:v>7.9</c:v>
                </c:pt>
                <c:pt idx="11">
                  <c:v>7.27</c:v>
                </c:pt>
                <c:pt idx="12">
                  <c:v>7.9</c:v>
                </c:pt>
                <c:pt idx="13">
                  <c:v>8.85</c:v>
                </c:pt>
                <c:pt idx="14">
                  <c:v>5.67</c:v>
                </c:pt>
                <c:pt idx="15">
                  <c:v>6.5</c:v>
                </c:pt>
                <c:pt idx="16">
                  <c:v>7.5</c:v>
                </c:pt>
                <c:pt idx="17">
                  <c:v>9</c:v>
                </c:pt>
                <c:pt idx="18">
                  <c:v>7.6</c:v>
                </c:pt>
                <c:pt idx="19">
                  <c:v>8.84</c:v>
                </c:pt>
                <c:pt idx="20">
                  <c:v>8.1999999999999993</c:v>
                </c:pt>
                <c:pt idx="21">
                  <c:v>8</c:v>
                </c:pt>
                <c:pt idx="22">
                  <c:v>7.54</c:v>
                </c:pt>
                <c:pt idx="23">
                  <c:v>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72-4A9A-B641-2086BBFF7D65}"/>
            </c:ext>
          </c:extLst>
        </c:ser>
        <c:ser>
          <c:idx val="3"/>
          <c:order val="3"/>
          <c:tx>
            <c:strRef>
              <c:f>Subjective!$AB$3</c:f>
              <c:strCache>
                <c:ptCount val="1"/>
                <c:pt idx="0">
                  <c:v>country_spent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Subjective!$X$4:$X$27</c:f>
              <c:strCache>
                <c:ptCount val="24"/>
                <c:pt idx="0">
                  <c:v>Brazil</c:v>
                </c:pt>
                <c:pt idx="1">
                  <c:v>Germany</c:v>
                </c:pt>
                <c:pt idx="2">
                  <c:v>Canada</c:v>
                </c:pt>
                <c:pt idx="3">
                  <c:v>Norway</c:v>
                </c:pt>
                <c:pt idx="4">
                  <c:v>Czech Republic</c:v>
                </c:pt>
                <c:pt idx="5">
                  <c:v>Austria</c:v>
                </c:pt>
                <c:pt idx="6">
                  <c:v>Belgium</c:v>
                </c:pt>
                <c:pt idx="7">
                  <c:v>Denmark</c:v>
                </c:pt>
                <c:pt idx="8">
                  <c:v>USA</c:v>
                </c:pt>
                <c:pt idx="9">
                  <c:v>Portugal</c:v>
                </c:pt>
                <c:pt idx="10">
                  <c:v>France</c:v>
                </c:pt>
                <c:pt idx="11">
                  <c:v>Finland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Netherlands</c:v>
                </c:pt>
                <c:pt idx="16">
                  <c:v>Poland</c:v>
                </c:pt>
                <c:pt idx="17">
                  <c:v>Spain</c:v>
                </c:pt>
                <c:pt idx="18">
                  <c:v>Sweden</c:v>
                </c:pt>
                <c:pt idx="19">
                  <c:v>United Kingdom</c:v>
                </c:pt>
                <c:pt idx="20">
                  <c:v>Australia</c:v>
                </c:pt>
                <c:pt idx="21">
                  <c:v>Argentina</c:v>
                </c:pt>
                <c:pt idx="22">
                  <c:v>Chile</c:v>
                </c:pt>
                <c:pt idx="23">
                  <c:v>India</c:v>
                </c:pt>
              </c:strCache>
            </c:strRef>
          </c:cat>
          <c:val>
            <c:numRef>
              <c:f>Subjective!$AB$4:$AB$27</c:f>
              <c:numCache>
                <c:formatCode>General</c:formatCode>
                <c:ptCount val="24"/>
                <c:pt idx="0">
                  <c:v>6.99</c:v>
                </c:pt>
                <c:pt idx="1">
                  <c:v>8.19</c:v>
                </c:pt>
                <c:pt idx="2">
                  <c:v>7.42</c:v>
                </c:pt>
                <c:pt idx="3">
                  <c:v>8.0299999999999994</c:v>
                </c:pt>
                <c:pt idx="4">
                  <c:v>9.3800000000000008</c:v>
                </c:pt>
                <c:pt idx="5">
                  <c:v>7.7</c:v>
                </c:pt>
                <c:pt idx="6">
                  <c:v>8.6300000000000008</c:v>
                </c:pt>
                <c:pt idx="7">
                  <c:v>3.76</c:v>
                </c:pt>
                <c:pt idx="8">
                  <c:v>8.01</c:v>
                </c:pt>
                <c:pt idx="9">
                  <c:v>6.53</c:v>
                </c:pt>
                <c:pt idx="10">
                  <c:v>7.84</c:v>
                </c:pt>
                <c:pt idx="11">
                  <c:v>7.2</c:v>
                </c:pt>
                <c:pt idx="12">
                  <c:v>7.82</c:v>
                </c:pt>
                <c:pt idx="13">
                  <c:v>8.83</c:v>
                </c:pt>
                <c:pt idx="14">
                  <c:v>5.61</c:v>
                </c:pt>
                <c:pt idx="15">
                  <c:v>6.53</c:v>
                </c:pt>
                <c:pt idx="16">
                  <c:v>7.62</c:v>
                </c:pt>
                <c:pt idx="17">
                  <c:v>8.91</c:v>
                </c:pt>
                <c:pt idx="18">
                  <c:v>7.52</c:v>
                </c:pt>
                <c:pt idx="19">
                  <c:v>8.75</c:v>
                </c:pt>
                <c:pt idx="20">
                  <c:v>8.1199999999999992</c:v>
                </c:pt>
                <c:pt idx="21">
                  <c:v>7.92</c:v>
                </c:pt>
                <c:pt idx="22">
                  <c:v>7.46</c:v>
                </c:pt>
                <c:pt idx="23">
                  <c:v>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72-4A9A-B641-2086BBFF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69952"/>
        <c:axId val="874473312"/>
      </c:barChart>
      <c:catAx>
        <c:axId val="8744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73312"/>
        <c:crosses val="autoZero"/>
        <c:auto val="1"/>
        <c:lblAlgn val="ctr"/>
        <c:lblOffset val="100"/>
        <c:noMultiLvlLbl val="0"/>
      </c:catAx>
      <c:valAx>
        <c:axId val="8744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[Module_2 result.xlsx]Subjective!PivotTable64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Subjective!$Y$46:$Y$47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Subjective!$X$48:$X$71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Subjective!$Y$48:$Y$71</c:f>
              <c:numCache>
                <c:formatCode>General</c:formatCode>
                <c:ptCount val="24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33.33</c:v>
                </c:pt>
                <c:pt idx="23">
                  <c:v>15.38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D-432A-B723-14ABA1366FE9}"/>
            </c:ext>
          </c:extLst>
        </c:ser>
        <c:ser>
          <c:idx val="1"/>
          <c:order val="1"/>
          <c:tx>
            <c:strRef>
              <c:f>Subjective!$Z$46:$Z$47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Subjective!$X$48:$X$71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Subjective!$Z$48:$Z$71</c:f>
              <c:numCache>
                <c:formatCode>General</c:formatCode>
                <c:ptCount val="24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66.67</c:v>
                </c:pt>
                <c:pt idx="11">
                  <c:v>0</c:v>
                </c:pt>
                <c:pt idx="12">
                  <c:v>0</c:v>
                </c:pt>
                <c:pt idx="13">
                  <c:v>50</c:v>
                </c:pt>
                <c:pt idx="14">
                  <c:v>100</c:v>
                </c:pt>
                <c:pt idx="15">
                  <c:v>0</c:v>
                </c:pt>
                <c:pt idx="16">
                  <c:v>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1">
                  <c:v>100</c:v>
                </c:pt>
                <c:pt idx="22">
                  <c:v>50</c:v>
                </c:pt>
                <c:pt idx="23">
                  <c:v>27.27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D-432A-B723-14ABA1366FE9}"/>
            </c:ext>
          </c:extLst>
        </c:ser>
        <c:ser>
          <c:idx val="2"/>
          <c:order val="2"/>
          <c:tx>
            <c:strRef>
              <c:f>Subjective!$AA$46:$AA$47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Subjective!$X$48:$X$71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Subjective!$AA$48:$AA$71</c:f>
              <c:numCache>
                <c:formatCode>General</c:formatCode>
                <c:ptCount val="24"/>
                <c:pt idx="0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</c:v>
                </c:pt>
                <c:pt idx="12">
                  <c:v>100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D-432A-B723-14ABA136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79072"/>
        <c:axId val="874480512"/>
      </c:barChart>
      <c:catAx>
        <c:axId val="8744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0512"/>
        <c:crosses val="autoZero"/>
        <c:auto val="1"/>
        <c:lblAlgn val="ctr"/>
        <c:lblOffset val="100"/>
        <c:noMultiLvlLbl val="0"/>
      </c:catAx>
      <c:valAx>
        <c:axId val="8744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 and value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Subjective!$AM$3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Subjective!$AK$4:$AL$7</c:f>
              <c:multiLvlStrCache>
                <c:ptCount val="4"/>
                <c:lvl>
                  <c:pt idx="0">
                    <c:v>High Value</c:v>
                  </c:pt>
                  <c:pt idx="1">
                    <c:v>Low Value</c:v>
                  </c:pt>
                  <c:pt idx="2">
                    <c:v>High Value</c:v>
                  </c:pt>
                  <c:pt idx="3">
                    <c:v>Low Value</c:v>
                  </c:pt>
                </c:lvl>
                <c:lvl>
                  <c:pt idx="0">
                    <c:v>High Frequency</c:v>
                  </c:pt>
                  <c:pt idx="1">
                    <c:v>High Frequency</c:v>
                  </c:pt>
                  <c:pt idx="2">
                    <c:v>Low Frequency</c:v>
                  </c:pt>
                  <c:pt idx="3">
                    <c:v>Low Frequency</c:v>
                  </c:pt>
                </c:lvl>
              </c:multiLvlStrCache>
            </c:multiLvlStrRef>
          </c:cat>
          <c:val>
            <c:numRef>
              <c:f>Subjective!$AM$4:$AM$7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21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E-4EE6-B69D-38549DF791B1}"/>
            </c:ext>
          </c:extLst>
        </c:ser>
        <c:ser>
          <c:idx val="1"/>
          <c:order val="1"/>
          <c:tx>
            <c:strRef>
              <c:f>Subjective!$AN$3</c:f>
              <c:strCache>
                <c:ptCount val="1"/>
                <c:pt idx="0">
                  <c:v>churned_customers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Subjective!$AK$4:$AL$7</c:f>
              <c:multiLvlStrCache>
                <c:ptCount val="4"/>
                <c:lvl>
                  <c:pt idx="0">
                    <c:v>High Value</c:v>
                  </c:pt>
                  <c:pt idx="1">
                    <c:v>Low Value</c:v>
                  </c:pt>
                  <c:pt idx="2">
                    <c:v>High Value</c:v>
                  </c:pt>
                  <c:pt idx="3">
                    <c:v>Low Value</c:v>
                  </c:pt>
                </c:lvl>
                <c:lvl>
                  <c:pt idx="0">
                    <c:v>High Frequency</c:v>
                  </c:pt>
                  <c:pt idx="1">
                    <c:v>High Frequency</c:v>
                  </c:pt>
                  <c:pt idx="2">
                    <c:v>Low Frequency</c:v>
                  </c:pt>
                  <c:pt idx="3">
                    <c:v>Low Frequency</c:v>
                  </c:pt>
                </c:lvl>
              </c:multiLvlStrCache>
            </c:multiLvlStrRef>
          </c:cat>
          <c:val>
            <c:numRef>
              <c:f>Subjective!$AN$4:$AN$7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E-4EE6-B69D-38549DF791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4491552"/>
        <c:axId val="874487232"/>
      </c:barChart>
      <c:catAx>
        <c:axId val="87449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7232"/>
        <c:crosses val="autoZero"/>
        <c:auto val="1"/>
        <c:lblAlgn val="ctr"/>
        <c:lblOffset val="100"/>
        <c:noMultiLvlLbl val="0"/>
      </c:catAx>
      <c:valAx>
        <c:axId val="874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</a:t>
            </a:r>
            <a:r>
              <a:rPr lang="en-US"/>
              <a:t>CLV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Subjective!$AM$11</c:f>
              <c:strCache>
                <c:ptCount val="1"/>
                <c:pt idx="0">
                  <c:v>avg_clv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Subjective!$AL$12:$AL$13</c:f>
              <c:strCache>
                <c:ptCount val="2"/>
                <c:pt idx="0">
                  <c:v>High Frequency</c:v>
                </c:pt>
                <c:pt idx="1">
                  <c:v>Low Frequency</c:v>
                </c:pt>
              </c:strCache>
            </c:strRef>
          </c:cat>
          <c:val>
            <c:numRef>
              <c:f>Subjective!$AM$12:$AM$13</c:f>
              <c:numCache>
                <c:formatCode>0.00</c:formatCode>
                <c:ptCount val="2"/>
                <c:pt idx="0">
                  <c:v>85.14</c:v>
                </c:pt>
                <c:pt idx="1">
                  <c:v>75.016452000000001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A-4A5D-AADF-DD3439E13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4494432"/>
        <c:axId val="874498752"/>
      </c:barChart>
      <c:catAx>
        <c:axId val="8744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8752"/>
        <c:crosses val="autoZero"/>
        <c:auto val="1"/>
        <c:lblAlgn val="ctr"/>
        <c:lblOffset val="100"/>
        <c:noMultiLvlLbl val="0"/>
      </c:catAx>
      <c:valAx>
        <c:axId val="8744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 CLV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Subjective!$AM$16</c:f>
              <c:strCache>
                <c:ptCount val="1"/>
                <c:pt idx="0">
                  <c:v>avg_clv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Subjective!$AL$17:$AL$18</c:f>
              <c:strCache>
                <c:ptCount val="2"/>
                <c:pt idx="0">
                  <c:v>active</c:v>
                </c:pt>
                <c:pt idx="1">
                  <c:v>churn</c:v>
                </c:pt>
              </c:strCache>
            </c:strRef>
          </c:cat>
          <c:val>
            <c:numRef>
              <c:f>Subjective!$AM$17:$AM$18</c:f>
              <c:numCache>
                <c:formatCode>0.00</c:formatCode>
                <c:ptCount val="2"/>
                <c:pt idx="0">
                  <c:v>83.287741999999994</c:v>
                </c:pt>
                <c:pt idx="1">
                  <c:v>75.982500000000002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0-4171-912F-D437838B4E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4489632"/>
        <c:axId val="874499232"/>
      </c:barChart>
      <c:catAx>
        <c:axId val="8744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9232"/>
        <c:crosses val="autoZero"/>
        <c:auto val="1"/>
        <c:lblAlgn val="ctr"/>
        <c:lblOffset val="100"/>
        <c:noMultiLvlLbl val="0"/>
      </c:catAx>
      <c:valAx>
        <c:axId val="8744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</a:t>
            </a:r>
            <a:r>
              <a:rPr lang="en-US"/>
              <a:t>count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Subjective!$AS$3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Subjective!$AR$4:$AR$27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Poland</c:v>
                </c:pt>
                <c:pt idx="4">
                  <c:v>India</c:v>
                </c:pt>
                <c:pt idx="5">
                  <c:v>Germany</c:v>
                </c:pt>
                <c:pt idx="6">
                  <c:v>Portugal</c:v>
                </c:pt>
                <c:pt idx="7">
                  <c:v>Finland</c:v>
                </c:pt>
                <c:pt idx="8">
                  <c:v>Brazil</c:v>
                </c:pt>
                <c:pt idx="9">
                  <c:v>Denmark</c:v>
                </c:pt>
                <c:pt idx="10">
                  <c:v>United Kingdom</c:v>
                </c:pt>
                <c:pt idx="11">
                  <c:v>Norway</c:v>
                </c:pt>
                <c:pt idx="12">
                  <c:v>Australia</c:v>
                </c:pt>
                <c:pt idx="13">
                  <c:v>Hungary</c:v>
                </c:pt>
                <c:pt idx="14">
                  <c:v>Ireland</c:v>
                </c:pt>
                <c:pt idx="15">
                  <c:v>Sweden</c:v>
                </c:pt>
                <c:pt idx="16">
                  <c:v>Spain</c:v>
                </c:pt>
                <c:pt idx="17">
                  <c:v>Chile</c:v>
                </c:pt>
                <c:pt idx="18">
                  <c:v>Italy</c:v>
                </c:pt>
                <c:pt idx="19">
                  <c:v>Czech Republic</c:v>
                </c:pt>
                <c:pt idx="20">
                  <c:v>Netherlands</c:v>
                </c:pt>
                <c:pt idx="21">
                  <c:v>Belgium</c:v>
                </c:pt>
                <c:pt idx="22">
                  <c:v>Austria</c:v>
                </c:pt>
                <c:pt idx="23">
                  <c:v>Argentina</c:v>
                </c:pt>
              </c:strCache>
            </c:strRef>
          </c:cat>
          <c:val>
            <c:numRef>
              <c:f>Subjective!$AS$4:$AS$27</c:f>
              <c:numCache>
                <c:formatCode>General</c:formatCode>
                <c:ptCount val="24"/>
                <c:pt idx="0">
                  <c:v>13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13B-9C04-3F0420D5B4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0159856"/>
        <c:axId val="864548944"/>
      </c:barChart>
      <c:catAx>
        <c:axId val="8701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48944"/>
        <c:crosses val="autoZero"/>
        <c:auto val="1"/>
        <c:lblAlgn val="ctr"/>
        <c:lblOffset val="100"/>
        <c:noMultiLvlLbl val="0"/>
      </c:catAx>
      <c:valAx>
        <c:axId val="8645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basket size &amp; amount spent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Subjective!$AT$3</c:f>
              <c:strCache>
                <c:ptCount val="1"/>
                <c:pt idx="0">
                  <c:v>cust_avg_amount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Subjective!$AR$4:$AR$27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Poland</c:v>
                </c:pt>
                <c:pt idx="4">
                  <c:v>India</c:v>
                </c:pt>
                <c:pt idx="5">
                  <c:v>Germany</c:v>
                </c:pt>
                <c:pt idx="6">
                  <c:v>Portugal</c:v>
                </c:pt>
                <c:pt idx="7">
                  <c:v>Finland</c:v>
                </c:pt>
                <c:pt idx="8">
                  <c:v>Brazil</c:v>
                </c:pt>
                <c:pt idx="9">
                  <c:v>Denmark</c:v>
                </c:pt>
                <c:pt idx="10">
                  <c:v>United Kingdom</c:v>
                </c:pt>
                <c:pt idx="11">
                  <c:v>Norway</c:v>
                </c:pt>
                <c:pt idx="12">
                  <c:v>Australia</c:v>
                </c:pt>
                <c:pt idx="13">
                  <c:v>Hungary</c:v>
                </c:pt>
                <c:pt idx="14">
                  <c:v>Ireland</c:v>
                </c:pt>
                <c:pt idx="15">
                  <c:v>Sweden</c:v>
                </c:pt>
                <c:pt idx="16">
                  <c:v>Spain</c:v>
                </c:pt>
                <c:pt idx="17">
                  <c:v>Chile</c:v>
                </c:pt>
                <c:pt idx="18">
                  <c:v>Italy</c:v>
                </c:pt>
                <c:pt idx="19">
                  <c:v>Czech Republic</c:v>
                </c:pt>
                <c:pt idx="20">
                  <c:v>Netherlands</c:v>
                </c:pt>
                <c:pt idx="21">
                  <c:v>Belgium</c:v>
                </c:pt>
                <c:pt idx="22">
                  <c:v>Austria</c:v>
                </c:pt>
                <c:pt idx="23">
                  <c:v>Argentina</c:v>
                </c:pt>
              </c:strCache>
            </c:strRef>
          </c:cat>
          <c:val>
            <c:numRef>
              <c:f>Subjective!$AT$4:$AT$27</c:f>
              <c:numCache>
                <c:formatCode>General</c:formatCode>
                <c:ptCount val="24"/>
                <c:pt idx="0">
                  <c:v>79.959999999999994</c:v>
                </c:pt>
                <c:pt idx="1">
                  <c:v>66.83</c:v>
                </c:pt>
                <c:pt idx="2">
                  <c:v>77.62</c:v>
                </c:pt>
                <c:pt idx="3">
                  <c:v>74.25</c:v>
                </c:pt>
                <c:pt idx="4">
                  <c:v>91.58</c:v>
                </c:pt>
                <c:pt idx="5">
                  <c:v>83.41</c:v>
                </c:pt>
                <c:pt idx="6">
                  <c:v>92.07</c:v>
                </c:pt>
                <c:pt idx="7">
                  <c:v>79.2</c:v>
                </c:pt>
                <c:pt idx="8">
                  <c:v>84.94</c:v>
                </c:pt>
                <c:pt idx="9">
                  <c:v>37.619999999999997</c:v>
                </c:pt>
                <c:pt idx="10">
                  <c:v>81.84</c:v>
                </c:pt>
                <c:pt idx="11">
                  <c:v>72.27</c:v>
                </c:pt>
                <c:pt idx="12">
                  <c:v>81.180000000000007</c:v>
                </c:pt>
                <c:pt idx="13">
                  <c:v>78.209999999999994</c:v>
                </c:pt>
                <c:pt idx="14">
                  <c:v>113.85</c:v>
                </c:pt>
                <c:pt idx="15">
                  <c:v>75.239999999999995</c:v>
                </c:pt>
                <c:pt idx="16">
                  <c:v>98.01</c:v>
                </c:pt>
                <c:pt idx="17">
                  <c:v>97.02</c:v>
                </c:pt>
                <c:pt idx="18">
                  <c:v>50.49</c:v>
                </c:pt>
                <c:pt idx="19">
                  <c:v>136.62</c:v>
                </c:pt>
                <c:pt idx="20">
                  <c:v>64.349999999999994</c:v>
                </c:pt>
                <c:pt idx="21">
                  <c:v>60.39</c:v>
                </c:pt>
                <c:pt idx="22">
                  <c:v>69.3</c:v>
                </c:pt>
                <c:pt idx="23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7-431D-984B-5D82AD1260E5}"/>
            </c:ext>
          </c:extLst>
        </c:ser>
        <c:ser>
          <c:idx val="1"/>
          <c:order val="1"/>
          <c:tx>
            <c:strRef>
              <c:f>Subjective!$AU$3</c:f>
              <c:strCache>
                <c:ptCount val="1"/>
                <c:pt idx="0">
                  <c:v>cust_avg_basket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Subjective!$AR$4:$AR$27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Poland</c:v>
                </c:pt>
                <c:pt idx="4">
                  <c:v>India</c:v>
                </c:pt>
                <c:pt idx="5">
                  <c:v>Germany</c:v>
                </c:pt>
                <c:pt idx="6">
                  <c:v>Portugal</c:v>
                </c:pt>
                <c:pt idx="7">
                  <c:v>Finland</c:v>
                </c:pt>
                <c:pt idx="8">
                  <c:v>Brazil</c:v>
                </c:pt>
                <c:pt idx="9">
                  <c:v>Denmark</c:v>
                </c:pt>
                <c:pt idx="10">
                  <c:v>United Kingdom</c:v>
                </c:pt>
                <c:pt idx="11">
                  <c:v>Norway</c:v>
                </c:pt>
                <c:pt idx="12">
                  <c:v>Australia</c:v>
                </c:pt>
                <c:pt idx="13">
                  <c:v>Hungary</c:v>
                </c:pt>
                <c:pt idx="14">
                  <c:v>Ireland</c:v>
                </c:pt>
                <c:pt idx="15">
                  <c:v>Sweden</c:v>
                </c:pt>
                <c:pt idx="16">
                  <c:v>Spain</c:v>
                </c:pt>
                <c:pt idx="17">
                  <c:v>Chile</c:v>
                </c:pt>
                <c:pt idx="18">
                  <c:v>Italy</c:v>
                </c:pt>
                <c:pt idx="19">
                  <c:v>Czech Republic</c:v>
                </c:pt>
                <c:pt idx="20">
                  <c:v>Netherlands</c:v>
                </c:pt>
                <c:pt idx="21">
                  <c:v>Belgium</c:v>
                </c:pt>
                <c:pt idx="22">
                  <c:v>Austria</c:v>
                </c:pt>
                <c:pt idx="23">
                  <c:v>Argentina</c:v>
                </c:pt>
              </c:strCache>
            </c:strRef>
          </c:cat>
          <c:val>
            <c:numRef>
              <c:f>Subjective!$AU$4:$AU$27</c:f>
              <c:numCache>
                <c:formatCode>General</c:formatCode>
                <c:ptCount val="24"/>
                <c:pt idx="0">
                  <c:v>80.77</c:v>
                </c:pt>
                <c:pt idx="1">
                  <c:v>67.5</c:v>
                </c:pt>
                <c:pt idx="2">
                  <c:v>78.400000000000006</c:v>
                </c:pt>
                <c:pt idx="3">
                  <c:v>75</c:v>
                </c:pt>
                <c:pt idx="4">
                  <c:v>92.5</c:v>
                </c:pt>
                <c:pt idx="5">
                  <c:v>84.25</c:v>
                </c:pt>
                <c:pt idx="6">
                  <c:v>93</c:v>
                </c:pt>
                <c:pt idx="7">
                  <c:v>80</c:v>
                </c:pt>
                <c:pt idx="8">
                  <c:v>85.8</c:v>
                </c:pt>
                <c:pt idx="9">
                  <c:v>38</c:v>
                </c:pt>
                <c:pt idx="10">
                  <c:v>82.67</c:v>
                </c:pt>
                <c:pt idx="11">
                  <c:v>73</c:v>
                </c:pt>
                <c:pt idx="12">
                  <c:v>82</c:v>
                </c:pt>
                <c:pt idx="13">
                  <c:v>79</c:v>
                </c:pt>
                <c:pt idx="14">
                  <c:v>115</c:v>
                </c:pt>
                <c:pt idx="15">
                  <c:v>76</c:v>
                </c:pt>
                <c:pt idx="16">
                  <c:v>99</c:v>
                </c:pt>
                <c:pt idx="17">
                  <c:v>98</c:v>
                </c:pt>
                <c:pt idx="18">
                  <c:v>51</c:v>
                </c:pt>
                <c:pt idx="19">
                  <c:v>138</c:v>
                </c:pt>
                <c:pt idx="20">
                  <c:v>65</c:v>
                </c:pt>
                <c:pt idx="21">
                  <c:v>61</c:v>
                </c:pt>
                <c:pt idx="22">
                  <c:v>70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7-431D-984B-5D82AD1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158896"/>
        <c:axId val="870160816"/>
      </c:barChart>
      <c:catAx>
        <c:axId val="87015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60816"/>
        <c:crosses val="autoZero"/>
        <c:auto val="1"/>
        <c:lblAlgn val="ctr"/>
        <c:lblOffset val="100"/>
        <c:noMultiLvlLbl val="0"/>
      </c:catAx>
      <c:valAx>
        <c:axId val="8701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5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Subjective!$AR$36</c:f>
              <c:strCache>
                <c:ptCount val="1"/>
                <c:pt idx="0">
                  <c:v>avg_clv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Subjective!$AQ$37:$AQ$40</c:f>
              <c:strCache>
                <c:ptCount val="4"/>
                <c:pt idx="0">
                  <c:v>High Frequency</c:v>
                </c:pt>
                <c:pt idx="1">
                  <c:v>Low Frequency</c:v>
                </c:pt>
                <c:pt idx="2">
                  <c:v>active</c:v>
                </c:pt>
                <c:pt idx="3">
                  <c:v>churn</c:v>
                </c:pt>
              </c:strCache>
            </c:strRef>
          </c:cat>
          <c:val>
            <c:numRef>
              <c:f>Subjective!$AR$37:$AR$40</c:f>
              <c:numCache>
                <c:formatCode>0.00</c:formatCode>
                <c:ptCount val="4"/>
                <c:pt idx="0">
                  <c:v>85.14</c:v>
                </c:pt>
                <c:pt idx="1">
                  <c:v>75.016452000000001</c:v>
                </c:pt>
                <c:pt idx="2">
                  <c:v>83.287741999999994</c:v>
                </c:pt>
                <c:pt idx="3">
                  <c:v>75.982500000000002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F-4379-A6B4-4F63BE6C0B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4880847"/>
        <c:axId val="694899087"/>
      </c:barChart>
      <c:catAx>
        <c:axId val="69488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99087"/>
        <c:crosses val="autoZero"/>
        <c:auto val="1"/>
        <c:lblAlgn val="ctr"/>
        <c:lblOffset val="100"/>
        <c:noMultiLvlLbl val="0"/>
      </c:catAx>
      <c:valAx>
        <c:axId val="6948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8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Extra_tables!$E$4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Extra_tables!$D$5:$D$9</c:f>
              <c:strCache>
                <c:ptCount val="5"/>
                <c:pt idx="0">
                  <c:v>MPEG audio file</c:v>
                </c:pt>
                <c:pt idx="1">
                  <c:v>Protected AAC audio file</c:v>
                </c:pt>
                <c:pt idx="2">
                  <c:v>Purchased AAC audio file</c:v>
                </c:pt>
                <c:pt idx="3">
                  <c:v>AAC audio file</c:v>
                </c:pt>
                <c:pt idx="4">
                  <c:v>Protected MPEG-4 video file</c:v>
                </c:pt>
              </c:strCache>
            </c:strRef>
          </c:cat>
          <c:val>
            <c:numRef>
              <c:f>Extra_tables!$E$5:$E$9</c:f>
              <c:numCache>
                <c:formatCode>General</c:formatCode>
                <c:ptCount val="5"/>
                <c:pt idx="0">
                  <c:v>4207.5</c:v>
                </c:pt>
                <c:pt idx="1">
                  <c:v>431.64</c:v>
                </c:pt>
                <c:pt idx="2">
                  <c:v>34.65</c:v>
                </c:pt>
                <c:pt idx="3">
                  <c:v>20.79</c:v>
                </c:pt>
                <c:pt idx="4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C-4AE4-A069-374B39EB5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5880960"/>
        <c:axId val="875881440"/>
      </c:barChart>
      <c:catAx>
        <c:axId val="8758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81440"/>
        <c:crosses val="autoZero"/>
        <c:auto val="1"/>
        <c:lblAlgn val="ctr"/>
        <c:lblOffset val="100"/>
        <c:noMultiLvlLbl val="0"/>
      </c:catAx>
      <c:valAx>
        <c:axId val="8758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57</xdr:row>
      <xdr:rowOff>125730</xdr:rowOff>
    </xdr:from>
    <xdr:to>
      <xdr:col>7</xdr:col>
      <xdr:colOff>510540</xdr:colOff>
      <xdr:row>72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DB9848-C8CB-8F21-A10E-6254611E5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40</xdr:row>
      <xdr:rowOff>163830</xdr:rowOff>
    </xdr:from>
    <xdr:to>
      <xdr:col>7</xdr:col>
      <xdr:colOff>167640</xdr:colOff>
      <xdr:row>55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3ABF32-D31C-2636-502A-1852C273B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289560</xdr:colOff>
      <xdr:row>18</xdr:row>
      <xdr:rowOff>80010</xdr:rowOff>
    </xdr:from>
    <xdr:to>
      <xdr:col>34</xdr:col>
      <xdr:colOff>15240</xdr:colOff>
      <xdr:row>28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51FC603-1281-387B-4AEE-3E7622E4E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457200</xdr:colOff>
      <xdr:row>30</xdr:row>
      <xdr:rowOff>95250</xdr:rowOff>
    </xdr:from>
    <xdr:to>
      <xdr:col>34</xdr:col>
      <xdr:colOff>15240</xdr:colOff>
      <xdr:row>41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44E2A2-94BA-DE79-F280-FC525B22B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457200</xdr:colOff>
      <xdr:row>43</xdr:row>
      <xdr:rowOff>41910</xdr:rowOff>
    </xdr:from>
    <xdr:to>
      <xdr:col>34</xdr:col>
      <xdr:colOff>83820</xdr:colOff>
      <xdr:row>52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5D9B67-A29D-9FED-2163-C8C47B6D3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883920</xdr:colOff>
      <xdr:row>6</xdr:row>
      <xdr:rowOff>41910</xdr:rowOff>
    </xdr:from>
    <xdr:to>
      <xdr:col>34</xdr:col>
      <xdr:colOff>518160</xdr:colOff>
      <xdr:row>15</xdr:row>
      <xdr:rowOff>53340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44389B-B786-6FB5-5CA6-BC2B7EAA6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144780</xdr:colOff>
      <xdr:row>19</xdr:row>
      <xdr:rowOff>95250</xdr:rowOff>
    </xdr:from>
    <xdr:to>
      <xdr:col>41</xdr:col>
      <xdr:colOff>403860</xdr:colOff>
      <xdr:row>32</xdr:row>
      <xdr:rowOff>7620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36A681-519A-3BF4-E166-A646082E5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457200</xdr:colOff>
      <xdr:row>19</xdr:row>
      <xdr:rowOff>163830</xdr:rowOff>
    </xdr:from>
    <xdr:to>
      <xdr:col>51</xdr:col>
      <xdr:colOff>419100</xdr:colOff>
      <xdr:row>38</xdr:row>
      <xdr:rowOff>30480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CD5E631-2E6D-0F08-5A45-57CA3C4E3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3</xdr:row>
      <xdr:rowOff>80010</xdr:rowOff>
    </xdr:from>
    <xdr:to>
      <xdr:col>9</xdr:col>
      <xdr:colOff>7620</xdr:colOff>
      <xdr:row>13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2FCB8-D497-9466-979F-4F14FDF5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693420</xdr:colOff>
      <xdr:row>36</xdr:row>
      <xdr:rowOff>57150</xdr:rowOff>
    </xdr:from>
    <xdr:to>
      <xdr:col>8</xdr:col>
      <xdr:colOff>53340</xdr:colOff>
      <xdr:row>51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CC85B-A3C3-BEB1-E5E2-F7C51EA2E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67</xdr:row>
      <xdr:rowOff>140970</xdr:rowOff>
    </xdr:from>
    <xdr:to>
      <xdr:col>7</xdr:col>
      <xdr:colOff>502920</xdr:colOff>
      <xdr:row>82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89C175-FEF1-7051-9304-BBA7A7794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182880</xdr:colOff>
      <xdr:row>41</xdr:row>
      <xdr:rowOff>125730</xdr:rowOff>
    </xdr:from>
    <xdr:to>
      <xdr:col>21</xdr:col>
      <xdr:colOff>190500</xdr:colOff>
      <xdr:row>55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F53C3F-B77A-1FF1-078D-6E89C3A16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527957</xdr:colOff>
      <xdr:row>28</xdr:row>
      <xdr:rowOff>91985</xdr:rowOff>
    </xdr:from>
    <xdr:to>
      <xdr:col>21</xdr:col>
      <xdr:colOff>436517</xdr:colOff>
      <xdr:row>41</xdr:row>
      <xdr:rowOff>27215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B3B42A-87DD-E5E5-EB1A-351A9DE0D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259080</xdr:colOff>
      <xdr:row>55</xdr:row>
      <xdr:rowOff>171450</xdr:rowOff>
    </xdr:from>
    <xdr:to>
      <xdr:col>21</xdr:col>
      <xdr:colOff>38100</xdr:colOff>
      <xdr:row>69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79ECF0-D374-70A7-5ED0-BD3454C41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213360</xdr:colOff>
      <xdr:row>27</xdr:row>
      <xdr:rowOff>72390</xdr:rowOff>
    </xdr:from>
    <xdr:to>
      <xdr:col>29</xdr:col>
      <xdr:colOff>518160</xdr:colOff>
      <xdr:row>42</xdr:row>
      <xdr:rowOff>72390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9250FB-D960-5BE0-ACD4-3E8F44FCF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259080</xdr:colOff>
      <xdr:row>47</xdr:row>
      <xdr:rowOff>87630</xdr:rowOff>
    </xdr:from>
    <xdr:to>
      <xdr:col>29</xdr:col>
      <xdr:colOff>586740</xdr:colOff>
      <xdr:row>62</xdr:row>
      <xdr:rowOff>87630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FEF38B-3E60-AD2C-D077-37BB5EA38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99060</xdr:colOff>
      <xdr:row>19</xdr:row>
      <xdr:rowOff>102870</xdr:rowOff>
    </xdr:from>
    <xdr:to>
      <xdr:col>41</xdr:col>
      <xdr:colOff>601980</xdr:colOff>
      <xdr:row>33</xdr:row>
      <xdr:rowOff>68580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6546FC-B1A0-3695-E15A-1BEEFD580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53340</xdr:colOff>
      <xdr:row>35</xdr:row>
      <xdr:rowOff>34290</xdr:rowOff>
    </xdr:from>
    <xdr:to>
      <xdr:col>40</xdr:col>
      <xdr:colOff>76200</xdr:colOff>
      <xdr:row>45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E87CF20-DAC3-CD81-5826-964085B9B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68580</xdr:colOff>
      <xdr:row>46</xdr:row>
      <xdr:rowOff>125730</xdr:rowOff>
    </xdr:from>
    <xdr:to>
      <xdr:col>40</xdr:col>
      <xdr:colOff>91440</xdr:colOff>
      <xdr:row>57</xdr:row>
      <xdr:rowOff>175260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5AE04A-9C37-0E55-A9D6-8D7F70E96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121920</xdr:colOff>
      <xdr:row>0</xdr:row>
      <xdr:rowOff>179070</xdr:rowOff>
    </xdr:from>
    <xdr:to>
      <xdr:col>55</xdr:col>
      <xdr:colOff>426720</xdr:colOff>
      <xdr:row>15</xdr:row>
      <xdr:rowOff>179070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7CE6C7-4487-9F9E-2012-3DA4C14CD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175260</xdr:colOff>
      <xdr:row>16</xdr:row>
      <xdr:rowOff>110490</xdr:rowOff>
    </xdr:from>
    <xdr:to>
      <xdr:col>55</xdr:col>
      <xdr:colOff>480060</xdr:colOff>
      <xdr:row>31</xdr:row>
      <xdr:rowOff>110490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BC8ED3F-6AB6-7406-3892-4FB48B31B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198120</xdr:colOff>
      <xdr:row>40</xdr:row>
      <xdr:rowOff>133350</xdr:rowOff>
    </xdr:from>
    <xdr:to>
      <xdr:col>47</xdr:col>
      <xdr:colOff>68580</xdr:colOff>
      <xdr:row>54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72883-7DC1-ED8A-BB59-D371112F4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57150</xdr:rowOff>
    </xdr:from>
    <xdr:to>
      <xdr:col>13</xdr:col>
      <xdr:colOff>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4272D-6988-B531-A07A-0F8D81F4C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0.889073032406" createdVersion="8" refreshedVersion="8" minRefreshableVersion="3" recordCount="53" xr:uid="{90D3D0B4-7E05-4318-B8EC-F194D580426B}">
  <cacheSource type="worksheet">
    <worksheetSource ref="I2:M55" sheet="Objective"/>
  </cacheSource>
  <cacheFields count="5">
    <cacheField name="billing_country" numFmtId="0">
      <sharedItems count="24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</sharedItems>
    </cacheField>
    <cacheField name="billing_state" numFmtId="0">
      <sharedItems/>
    </cacheField>
    <cacheField name="billing_city" numFmtId="0">
      <sharedItems count="53">
        <s v="Buenos Aires"/>
        <s v="Sidney"/>
        <s v="Vienne"/>
        <s v="Brussels"/>
        <s v="Rio de Janeiro"/>
        <s v="BrasÃ­lia"/>
        <s v="SÃ£o JosÃ© dos Campos"/>
        <s v="SÃ£o Paulo"/>
        <s v="Edmonton"/>
        <s v="Toronto"/>
        <s v="Halifax"/>
        <s v="Vancouver"/>
        <s v="Winnipeg"/>
        <s v="Yellowknife"/>
        <s v="Ottawa"/>
        <s v="MontrÃ©al"/>
        <s v="Santiago"/>
        <s v="Prague"/>
        <s v="Copenhagen"/>
        <s v="Helsinki"/>
        <s v="Lyon"/>
        <s v="Dijon"/>
        <s v="Bordeaux"/>
        <s v="Paris"/>
        <s v="Stuttgart"/>
        <s v="Frankfurt"/>
        <s v="Berlin"/>
        <s v="Budapest"/>
        <s v="Bangalore"/>
        <s v="Delhi"/>
        <s v="Dublin"/>
        <s v="Rome"/>
        <s v="Amsterdam"/>
        <s v="Oslo"/>
        <s v="Warsaw"/>
        <s v="Porto"/>
        <s v="Lisbon"/>
        <s v="Madrid"/>
        <s v="Stockholm"/>
        <s v="Edinburgh "/>
        <s v="London"/>
        <s v="Cupertino"/>
        <s v="Boston"/>
        <s v="Chicago"/>
        <s v="Salt Lake City"/>
        <s v="Madison"/>
        <s v="New York"/>
        <s v="Tucson"/>
        <s v="Fort Worth"/>
        <s v="Reno"/>
        <s v="Orlando"/>
        <s v="Redmond"/>
        <s v="Mountain View"/>
      </sharedItems>
    </cacheField>
    <cacheField name="total_revenue" numFmtId="0">
      <sharedItems containsSemiMixedTypes="0" containsString="0" containsNumber="1" minValue="29.7" maxValue="273.24"/>
    </cacheField>
    <cacheField name="number_of_invoices" numFmtId="0">
      <sharedItems containsSemiMixedTypes="0" containsString="0" containsNumber="1" containsInteger="1" minValue="4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0.989536805559" createdVersion="8" refreshedVersion="8" minRefreshableVersion="3" recordCount="48" xr:uid="{871F731E-9451-4CF2-8A7A-4C1A01E77FF5}">
  <cacheSource type="worksheet">
    <worksheetSource ref="Z2:AD50" sheet="Objective"/>
  </cacheSource>
  <cacheFields count="5">
    <cacheField name="purchase_year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purchase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ales_count" numFmtId="0">
      <sharedItems containsSemiMixedTypes="0" containsString="0" containsNumber="1" containsInteger="1" minValue="5" maxValue="22"/>
    </cacheField>
    <cacheField name="revenue_gen" numFmtId="0">
      <sharedItems containsSemiMixedTypes="0" containsString="0" containsNumber="1" minValue="28.71" maxValue="183.15"/>
    </cacheField>
    <cacheField name="tracks_bought" numFmtId="0">
      <sharedItems containsSemiMixedTypes="0" containsString="0" containsNumber="1" containsInteger="1" minValue="29" maxValue="1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1.602307291665" createdVersion="8" refreshedVersion="8" minRefreshableVersion="3" recordCount="23" xr:uid="{6FEDF1E0-A17A-4062-88CA-220EFA667E1B}">
  <cacheSource type="worksheet">
    <worksheetSource ref="B9:F32" sheet="Subjective"/>
  </cacheSource>
  <cacheFields count="5">
    <cacheField name="country" numFmtId="0">
      <sharedItems count="23">
        <s v="Argentina"/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</sharedItems>
    </cacheField>
    <cacheField name="genre_id" numFmtId="0">
      <sharedItems containsSemiMixedTypes="0" containsString="0" containsNumber="1" containsInteger="1" minValue="1" maxValue="4"/>
    </cacheField>
    <cacheField name="genre_name" numFmtId="0">
      <sharedItems count="2">
        <s v="Alternative &amp; Punk"/>
        <s v="Rock"/>
      </sharedItems>
    </cacheField>
    <cacheField name="revenue" numFmtId="0">
      <sharedItems containsSemiMixedTypes="0" containsString="0" containsNumber="1" minValue="16.829999999999998" maxValue="329.67"/>
    </cacheField>
    <cacheField name="rankin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1.636441087961" createdVersion="8" refreshedVersion="8" minRefreshableVersion="3" recordCount="118" xr:uid="{3711B51E-0F0C-4FE5-8FAE-43B2E09B1DB2}">
  <cacheSource type="worksheet">
    <worksheetSource ref="J3:N121" sheet="Subjective"/>
  </cacheSource>
  <cacheFields count="5">
    <cacheField name="customer_id" numFmtId="0">
      <sharedItems containsSemiMixedTypes="0" containsString="0" containsNumber="1" containsInteger="1" minValue="1" maxValue="59"/>
    </cacheField>
    <cacheField name="classify" numFmtId="0">
      <sharedItems count="2">
        <s v="new"/>
        <s v="old"/>
      </sharedItems>
    </cacheField>
    <cacheField name="frequency" numFmtId="0">
      <sharedItems containsSemiMixedTypes="0" containsString="0" containsNumber="1" minValue="9.3799999999999994E-2" maxValue="2"/>
    </cacheField>
    <cacheField name="avg_basket_size" numFmtId="0">
      <sharedItems containsSemiMixedTypes="0" containsString="0" containsNumber="1" minValue="2.4" maxValue="17"/>
    </cacheField>
    <cacheField name="avg_amount" numFmtId="0">
      <sharedItems containsSemiMixedTypes="0" containsString="0" containsNumber="1" minValue="2.38" maxValue="16.82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1.72565659722" createdVersion="8" refreshedVersion="8" minRefreshableVersion="3" recordCount="64" xr:uid="{7C549E35-DF7A-4BB2-85F7-F3707AB7EA85}">
  <cacheSource type="worksheet">
    <worksheetSource ref="AE3:AG67" sheet="Subjective"/>
  </cacheSource>
  <cacheFields count="3">
    <cacheField name="year" numFmtId="0">
      <sharedItems containsSemiMixedTypes="0" containsString="0" containsNumber="1" containsInteger="1" minValue="2018" maxValue="2020" count="3">
        <n v="2018"/>
        <n v="2019"/>
        <n v="2020"/>
      </sharedItems>
    </cacheField>
    <cacheField name="billing_country" numFmtId="0">
      <sharedItems count="24">
        <s v="Australia"/>
        <s v="Austria"/>
        <s v="Belgium"/>
        <s v="Brazil"/>
        <s v="Canada"/>
        <s v="Chile"/>
        <s v="Czech Republic"/>
        <s v="Denmark"/>
        <s v="Finland"/>
        <s v="France"/>
        <s v="Germany"/>
        <s v="Hungary"/>
        <s v="India"/>
        <s v="Ireland"/>
        <s v="Italy"/>
        <s v="Netherlands"/>
        <s v="Norway"/>
        <s v="Poland"/>
        <s v="Portugal"/>
        <s v="Spain"/>
        <s v="Sweden"/>
        <s v="United Kingdom"/>
        <s v="USA"/>
        <s v="Argentina"/>
      </sharedItems>
    </cacheField>
    <cacheField name="churn_rat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None"/>
    <x v="0"/>
    <n v="39.6"/>
    <n v="5"/>
  </r>
  <r>
    <x v="1"/>
    <s v="NSW"/>
    <x v="1"/>
    <n v="81.180000000000007"/>
    <n v="10"/>
  </r>
  <r>
    <x v="2"/>
    <s v="None"/>
    <x v="2"/>
    <n v="69.3"/>
    <n v="9"/>
  </r>
  <r>
    <x v="3"/>
    <s v="None"/>
    <x v="3"/>
    <n v="60.39"/>
    <n v="7"/>
  </r>
  <r>
    <x v="4"/>
    <s v="RJ"/>
    <x v="4"/>
    <n v="82.17"/>
    <n v="11"/>
  </r>
  <r>
    <x v="4"/>
    <s v="DF"/>
    <x v="5"/>
    <n v="106.92"/>
    <n v="15"/>
  </r>
  <r>
    <x v="4"/>
    <s v="SP"/>
    <x v="6"/>
    <n v="108.9"/>
    <n v="13"/>
  </r>
  <r>
    <x v="4"/>
    <s v="SP"/>
    <x v="7"/>
    <n v="129.69"/>
    <n v="22"/>
  </r>
  <r>
    <x v="5"/>
    <s v="AB"/>
    <x v="8"/>
    <n v="29.7"/>
    <n v="10"/>
  </r>
  <r>
    <x v="5"/>
    <s v="ON"/>
    <x v="9"/>
    <n v="40.590000000000003"/>
    <n v="4"/>
  </r>
  <r>
    <x v="5"/>
    <s v="NS"/>
    <x v="10"/>
    <n v="62.37"/>
    <n v="11"/>
  </r>
  <r>
    <x v="5"/>
    <s v="BC"/>
    <x v="11"/>
    <n v="66.33"/>
    <n v="9"/>
  </r>
  <r>
    <x v="5"/>
    <s v="MB"/>
    <x v="12"/>
    <n v="70.290000000000006"/>
    <n v="8"/>
  </r>
  <r>
    <x v="5"/>
    <s v="NT"/>
    <x v="13"/>
    <n v="75.239999999999995"/>
    <n v="12"/>
  </r>
  <r>
    <x v="5"/>
    <s v="ON"/>
    <x v="14"/>
    <n v="91.08"/>
    <n v="13"/>
  </r>
  <r>
    <x v="5"/>
    <s v="QC"/>
    <x v="15"/>
    <n v="99.99"/>
    <n v="9"/>
  </r>
  <r>
    <x v="6"/>
    <s v="None"/>
    <x v="16"/>
    <n v="97.02"/>
    <n v="13"/>
  </r>
  <r>
    <x v="7"/>
    <s v="None"/>
    <x v="17"/>
    <n v="273.24"/>
    <n v="30"/>
  </r>
  <r>
    <x v="8"/>
    <s v="None"/>
    <x v="18"/>
    <n v="37.619999999999997"/>
    <n v="10"/>
  </r>
  <r>
    <x v="9"/>
    <s v="None"/>
    <x v="19"/>
    <n v="79.2"/>
    <n v="11"/>
  </r>
  <r>
    <x v="10"/>
    <s v="None"/>
    <x v="20"/>
    <n v="64.349999999999994"/>
    <n v="9"/>
  </r>
  <r>
    <x v="10"/>
    <s v="None"/>
    <x v="21"/>
    <n v="73.260000000000005"/>
    <n v="12"/>
  </r>
  <r>
    <x v="10"/>
    <s v="None"/>
    <x v="22"/>
    <n v="99.99"/>
    <n v="11"/>
  </r>
  <r>
    <x v="10"/>
    <s v="None"/>
    <x v="23"/>
    <n v="151.47"/>
    <n v="18"/>
  </r>
  <r>
    <x v="11"/>
    <s v="None"/>
    <x v="24"/>
    <n v="82.17"/>
    <n v="11"/>
  </r>
  <r>
    <x v="11"/>
    <s v="None"/>
    <x v="25"/>
    <n v="94.05"/>
    <n v="10"/>
  </r>
  <r>
    <x v="11"/>
    <s v="None"/>
    <x v="26"/>
    <n v="158.4"/>
    <n v="20"/>
  </r>
  <r>
    <x v="12"/>
    <s v="None"/>
    <x v="27"/>
    <n v="78.209999999999994"/>
    <n v="10"/>
  </r>
  <r>
    <x v="13"/>
    <s v="None"/>
    <x v="28"/>
    <n v="71.28"/>
    <n v="8"/>
  </r>
  <r>
    <x v="13"/>
    <s v="None"/>
    <x v="29"/>
    <n v="111.87"/>
    <n v="13"/>
  </r>
  <r>
    <x v="14"/>
    <s v="Dublin"/>
    <x v="30"/>
    <n v="114.84"/>
    <n v="13"/>
  </r>
  <r>
    <x v="15"/>
    <s v="RM"/>
    <x v="31"/>
    <n v="50.49"/>
    <n v="9"/>
  </r>
  <r>
    <x v="16"/>
    <s v="VV"/>
    <x v="32"/>
    <n v="65.34"/>
    <n v="10"/>
  </r>
  <r>
    <x v="17"/>
    <s v="None"/>
    <x v="33"/>
    <n v="72.27"/>
    <n v="9"/>
  </r>
  <r>
    <x v="18"/>
    <s v="None"/>
    <x v="34"/>
    <n v="76.23"/>
    <n v="10"/>
  </r>
  <r>
    <x v="19"/>
    <s v="None"/>
    <x v="35"/>
    <n v="82.17"/>
    <n v="16"/>
  </r>
  <r>
    <x v="19"/>
    <s v="None"/>
    <x v="36"/>
    <n v="102.96"/>
    <n v="13"/>
  </r>
  <r>
    <x v="20"/>
    <s v="None"/>
    <x v="37"/>
    <n v="98.01"/>
    <n v="11"/>
  </r>
  <r>
    <x v="21"/>
    <s v="None"/>
    <x v="38"/>
    <n v="75.239999999999995"/>
    <n v="10"/>
  </r>
  <r>
    <x v="22"/>
    <s v="None"/>
    <x v="39"/>
    <n v="79.2"/>
    <n v="9"/>
  </r>
  <r>
    <x v="22"/>
    <s v="None"/>
    <x v="40"/>
    <n v="166.32"/>
    <n v="19"/>
  </r>
  <r>
    <x v="23"/>
    <s v="CA"/>
    <x v="41"/>
    <n v="54.45"/>
    <n v="9"/>
  </r>
  <r>
    <x v="23"/>
    <s v="MA"/>
    <x v="42"/>
    <n v="66.33"/>
    <n v="10"/>
  </r>
  <r>
    <x v="23"/>
    <s v="IL"/>
    <x v="43"/>
    <n v="71.28"/>
    <n v="8"/>
  </r>
  <r>
    <x v="23"/>
    <s v="UT"/>
    <x v="44"/>
    <n v="72.27"/>
    <n v="10"/>
  </r>
  <r>
    <x v="23"/>
    <s v="WI"/>
    <x v="45"/>
    <n v="76.23"/>
    <n v="10"/>
  </r>
  <r>
    <x v="23"/>
    <s v="NY"/>
    <x v="46"/>
    <n v="79.2"/>
    <n v="8"/>
  </r>
  <r>
    <x v="23"/>
    <s v="AZ"/>
    <x v="47"/>
    <n v="84.15"/>
    <n v="9"/>
  </r>
  <r>
    <x v="23"/>
    <s v="TX"/>
    <x v="48"/>
    <n v="86.13"/>
    <n v="12"/>
  </r>
  <r>
    <x v="23"/>
    <s v="NV"/>
    <x v="49"/>
    <n v="91.08"/>
    <n v="11"/>
  </r>
  <r>
    <x v="23"/>
    <s v="FL"/>
    <x v="50"/>
    <n v="92.07"/>
    <n v="12"/>
  </r>
  <r>
    <x v="23"/>
    <s v="WA"/>
    <x v="51"/>
    <n v="98.01"/>
    <n v="12"/>
  </r>
  <r>
    <x v="23"/>
    <s v="CA"/>
    <x v="52"/>
    <n v="169.29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17"/>
    <n v="126.72"/>
    <n v="128"/>
  </r>
  <r>
    <x v="0"/>
    <x v="1"/>
    <n v="19"/>
    <n v="140.58000000000001"/>
    <n v="142"/>
  </r>
  <r>
    <x v="0"/>
    <x v="2"/>
    <n v="13"/>
    <n v="102.96"/>
    <n v="104"/>
  </r>
  <r>
    <x v="0"/>
    <x v="3"/>
    <n v="17"/>
    <n v="142.56"/>
    <n v="144"/>
  </r>
  <r>
    <x v="0"/>
    <x v="4"/>
    <n v="12"/>
    <n v="104.94"/>
    <n v="106"/>
  </r>
  <r>
    <x v="0"/>
    <x v="5"/>
    <n v="12"/>
    <n v="75.239999999999995"/>
    <n v="76"/>
  </r>
  <r>
    <x v="0"/>
    <x v="6"/>
    <n v="11"/>
    <n v="108.9"/>
    <n v="110"/>
  </r>
  <r>
    <x v="0"/>
    <x v="7"/>
    <n v="11"/>
    <n v="88.11"/>
    <n v="89"/>
  </r>
  <r>
    <x v="0"/>
    <x v="8"/>
    <n v="13"/>
    <n v="107.91"/>
    <n v="109"/>
  </r>
  <r>
    <x v="0"/>
    <x v="9"/>
    <n v="13"/>
    <n v="79.2"/>
    <n v="80"/>
  </r>
  <r>
    <x v="0"/>
    <x v="10"/>
    <n v="11"/>
    <n v="94.05"/>
    <n v="95"/>
  </r>
  <r>
    <x v="0"/>
    <x v="11"/>
    <n v="5"/>
    <n v="28.71"/>
    <n v="29"/>
  </r>
  <r>
    <x v="1"/>
    <x v="0"/>
    <n v="22"/>
    <n v="183.15"/>
    <n v="185"/>
  </r>
  <r>
    <x v="1"/>
    <x v="1"/>
    <n v="18"/>
    <n v="116.82"/>
    <n v="118"/>
  </r>
  <r>
    <x v="1"/>
    <x v="2"/>
    <n v="18"/>
    <n v="148.5"/>
    <n v="150"/>
  </r>
  <r>
    <x v="1"/>
    <x v="3"/>
    <n v="10"/>
    <n v="63.36"/>
    <n v="64"/>
  </r>
  <r>
    <x v="1"/>
    <x v="4"/>
    <n v="10"/>
    <n v="75.239999999999995"/>
    <n v="76"/>
  </r>
  <r>
    <x v="1"/>
    <x v="5"/>
    <n v="13"/>
    <n v="92.07"/>
    <n v="93"/>
  </r>
  <r>
    <x v="1"/>
    <x v="6"/>
    <n v="11"/>
    <n v="85.14"/>
    <n v="86"/>
  </r>
  <r>
    <x v="1"/>
    <x v="7"/>
    <n v="16"/>
    <n v="104.94"/>
    <n v="106"/>
  </r>
  <r>
    <x v="1"/>
    <x v="8"/>
    <n v="6"/>
    <n v="56.43"/>
    <n v="57"/>
  </r>
  <r>
    <x v="1"/>
    <x v="9"/>
    <n v="8"/>
    <n v="78.209999999999994"/>
    <n v="79"/>
  </r>
  <r>
    <x v="1"/>
    <x v="10"/>
    <n v="7"/>
    <n v="42.57"/>
    <n v="43"/>
  </r>
  <r>
    <x v="1"/>
    <x v="11"/>
    <n v="12"/>
    <n v="98.01"/>
    <n v="99"/>
  </r>
  <r>
    <x v="2"/>
    <x v="0"/>
    <n v="10"/>
    <n v="85.14"/>
    <n v="86"/>
  </r>
  <r>
    <x v="2"/>
    <x v="1"/>
    <n v="7"/>
    <n v="59.4"/>
    <n v="60"/>
  </r>
  <r>
    <x v="2"/>
    <x v="2"/>
    <n v="14"/>
    <n v="125.73"/>
    <n v="127"/>
  </r>
  <r>
    <x v="2"/>
    <x v="3"/>
    <n v="17"/>
    <n v="115.83"/>
    <n v="117"/>
  </r>
  <r>
    <x v="2"/>
    <x v="4"/>
    <n v="16"/>
    <n v="104.94"/>
    <n v="106"/>
  </r>
  <r>
    <x v="2"/>
    <x v="5"/>
    <n v="13"/>
    <n v="92.07"/>
    <n v="93"/>
  </r>
  <r>
    <x v="2"/>
    <x v="6"/>
    <n v="15"/>
    <n v="124.74"/>
    <n v="126"/>
  </r>
  <r>
    <x v="2"/>
    <x v="7"/>
    <n v="19"/>
    <n v="158.4"/>
    <n v="160"/>
  </r>
  <r>
    <x v="2"/>
    <x v="8"/>
    <n v="19"/>
    <n v="124.74"/>
    <n v="126"/>
  </r>
  <r>
    <x v="2"/>
    <x v="9"/>
    <n v="6"/>
    <n v="43.56"/>
    <n v="44"/>
  </r>
  <r>
    <x v="2"/>
    <x v="10"/>
    <n v="8"/>
    <n v="71.28"/>
    <n v="72"/>
  </r>
  <r>
    <x v="2"/>
    <x v="11"/>
    <n v="15"/>
    <n v="110.88"/>
    <n v="112"/>
  </r>
  <r>
    <x v="3"/>
    <x v="0"/>
    <n v="8"/>
    <n v="43.56"/>
    <n v="44"/>
  </r>
  <r>
    <x v="3"/>
    <x v="1"/>
    <n v="11"/>
    <n v="97.02"/>
    <n v="98"/>
  </r>
  <r>
    <x v="3"/>
    <x v="2"/>
    <n v="11"/>
    <n v="78.209999999999994"/>
    <n v="79"/>
  </r>
  <r>
    <x v="3"/>
    <x v="3"/>
    <n v="16"/>
    <n v="119.79"/>
    <n v="121"/>
  </r>
  <r>
    <x v="3"/>
    <x v="4"/>
    <n v="13"/>
    <n v="81.180000000000007"/>
    <n v="82"/>
  </r>
  <r>
    <x v="3"/>
    <x v="5"/>
    <n v="11"/>
    <n v="120.78"/>
    <n v="122"/>
  </r>
  <r>
    <x v="3"/>
    <x v="6"/>
    <n v="12"/>
    <n v="76.23"/>
    <n v="77"/>
  </r>
  <r>
    <x v="3"/>
    <x v="7"/>
    <n v="8"/>
    <n v="72.27"/>
    <n v="73"/>
  </r>
  <r>
    <x v="3"/>
    <x v="8"/>
    <n v="13"/>
    <n v="95.04"/>
    <n v="96"/>
  </r>
  <r>
    <x v="3"/>
    <x v="9"/>
    <n v="18"/>
    <n v="144.54"/>
    <n v="146"/>
  </r>
  <r>
    <x v="3"/>
    <x v="10"/>
    <n v="12"/>
    <n v="82.17"/>
    <n v="83"/>
  </r>
  <r>
    <x v="3"/>
    <x v="11"/>
    <n v="17"/>
    <n v="125.73"/>
    <n v="1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4"/>
    <x v="0"/>
    <n v="16.829999999999998"/>
    <n v="1"/>
  </r>
  <r>
    <x v="1"/>
    <n v="1"/>
    <x v="1"/>
    <n v="33.659999999999997"/>
    <n v="1"/>
  </r>
  <r>
    <x v="2"/>
    <n v="1"/>
    <x v="1"/>
    <n v="39.6"/>
    <n v="1"/>
  </r>
  <r>
    <x v="3"/>
    <n v="1"/>
    <x v="1"/>
    <n v="25.74"/>
    <n v="1"/>
  </r>
  <r>
    <x v="4"/>
    <n v="1"/>
    <x v="1"/>
    <n v="202.95"/>
    <n v="1"/>
  </r>
  <r>
    <x v="5"/>
    <n v="1"/>
    <x v="1"/>
    <n v="329.67"/>
    <n v="1"/>
  </r>
  <r>
    <x v="6"/>
    <n v="1"/>
    <x v="1"/>
    <n v="60.39"/>
    <n v="1"/>
  </r>
  <r>
    <x v="7"/>
    <n v="1"/>
    <x v="1"/>
    <n v="141.57"/>
    <n v="1"/>
  </r>
  <r>
    <x v="8"/>
    <n v="1"/>
    <x v="1"/>
    <n v="23.76"/>
    <n v="1"/>
  </r>
  <r>
    <x v="9"/>
    <n v="1"/>
    <x v="1"/>
    <n v="45.54"/>
    <n v="1"/>
  </r>
  <r>
    <x v="10"/>
    <n v="1"/>
    <x v="1"/>
    <n v="207.9"/>
    <n v="1"/>
  </r>
  <r>
    <x v="11"/>
    <n v="1"/>
    <x v="1"/>
    <n v="192.06"/>
    <n v="1"/>
  </r>
  <r>
    <x v="12"/>
    <n v="1"/>
    <x v="1"/>
    <n v="43.56"/>
    <n v="1"/>
  </r>
  <r>
    <x v="13"/>
    <n v="1"/>
    <x v="1"/>
    <n v="100.98"/>
    <n v="1"/>
  </r>
  <r>
    <x v="14"/>
    <n v="1"/>
    <x v="1"/>
    <n v="70.290000000000006"/>
    <n v="1"/>
  </r>
  <r>
    <x v="15"/>
    <n v="1"/>
    <x v="1"/>
    <n v="34.65"/>
    <n v="1"/>
  </r>
  <r>
    <x v="16"/>
    <n v="1"/>
    <x v="1"/>
    <n v="31.68"/>
    <n v="1"/>
  </r>
  <r>
    <x v="17"/>
    <n v="1"/>
    <x v="1"/>
    <n v="39.6"/>
    <n v="1"/>
  </r>
  <r>
    <x v="18"/>
    <n v="1"/>
    <x v="1"/>
    <n v="38.61"/>
    <n v="1"/>
  </r>
  <r>
    <x v="19"/>
    <n v="1"/>
    <x v="1"/>
    <n v="106.92"/>
    <n v="1"/>
  </r>
  <r>
    <x v="20"/>
    <n v="1"/>
    <x v="1"/>
    <n v="45.54"/>
    <n v="1"/>
  </r>
  <r>
    <x v="21"/>
    <n v="1"/>
    <x v="1"/>
    <n v="59.4"/>
    <n v="1"/>
  </r>
  <r>
    <x v="22"/>
    <n v="1"/>
    <x v="1"/>
    <n v="164.34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x v="0"/>
    <n v="0.36359999999999998"/>
    <n v="9.5"/>
    <n v="9.41"/>
  </r>
  <r>
    <n v="1"/>
    <x v="1"/>
    <n v="0.3"/>
    <n v="8"/>
    <n v="7.92"/>
  </r>
  <r>
    <n v="2"/>
    <x v="0"/>
    <n v="0.5"/>
    <n v="7.83"/>
    <n v="7.76"/>
  </r>
  <r>
    <n v="2"/>
    <x v="1"/>
    <n v="0.25"/>
    <n v="7.2"/>
    <n v="7.13"/>
  </r>
  <r>
    <n v="3"/>
    <x v="0"/>
    <n v="0.375"/>
    <n v="15.67"/>
    <n v="15.51"/>
  </r>
  <r>
    <n v="3"/>
    <x v="1"/>
    <n v="0.26090000000000002"/>
    <n v="8.83"/>
    <n v="8.91"/>
  </r>
  <r>
    <n v="4"/>
    <x v="0"/>
    <n v="0.66669999999999996"/>
    <n v="7.75"/>
    <n v="7.67"/>
  </r>
  <r>
    <n v="4"/>
    <x v="1"/>
    <n v="0.21740000000000001"/>
    <n v="8.4"/>
    <n v="8.32"/>
  </r>
  <r>
    <n v="5"/>
    <x v="0"/>
    <n v="0.33329999999999999"/>
    <n v="7.33"/>
    <n v="7.26"/>
  </r>
  <r>
    <n v="5"/>
    <x v="1"/>
    <n v="0.5"/>
    <n v="8.27"/>
    <n v="8.18"/>
  </r>
  <r>
    <n v="6"/>
    <x v="0"/>
    <n v="0.4"/>
    <n v="12"/>
    <n v="11.88"/>
  </r>
  <r>
    <n v="6"/>
    <x v="1"/>
    <n v="0.30769999999999997"/>
    <n v="10.25"/>
    <n v="10.15"/>
  </r>
  <r>
    <n v="7"/>
    <x v="0"/>
    <n v="0.3"/>
    <n v="8.33"/>
    <n v="8.25"/>
  </r>
  <r>
    <n v="7"/>
    <x v="1"/>
    <n v="0.35289999999999999"/>
    <n v="7.5"/>
    <n v="7.43"/>
  </r>
  <r>
    <n v="8"/>
    <x v="0"/>
    <n v="1"/>
    <n v="7.33"/>
    <n v="7.26"/>
  </r>
  <r>
    <n v="8"/>
    <x v="1"/>
    <n v="0.28570000000000001"/>
    <n v="9.75"/>
    <n v="9.65"/>
  </r>
  <r>
    <n v="9"/>
    <x v="0"/>
    <n v="0.41670000000000001"/>
    <n v="5.2"/>
    <n v="5.15"/>
  </r>
  <r>
    <n v="9"/>
    <x v="1"/>
    <n v="0.27779999999999999"/>
    <n v="2.4"/>
    <n v="2.38"/>
  </r>
  <r>
    <n v="10"/>
    <x v="0"/>
    <n v="0.2727"/>
    <n v="7.33"/>
    <n v="7.59"/>
  </r>
  <r>
    <n v="10"/>
    <x v="1"/>
    <n v="0.36"/>
    <n v="4.22"/>
    <n v="4.18"/>
  </r>
  <r>
    <n v="11"/>
    <x v="0"/>
    <n v="0.6"/>
    <n v="3.67"/>
    <n v="3.63"/>
  </r>
  <r>
    <n v="11"/>
    <x v="1"/>
    <n v="0.4118"/>
    <n v="8.43"/>
    <n v="8.34"/>
  </r>
  <r>
    <n v="12"/>
    <x v="0"/>
    <n v="0.3"/>
    <n v="8.67"/>
    <n v="8.58"/>
  </r>
  <r>
    <n v="12"/>
    <x v="1"/>
    <n v="0.27589999999999998"/>
    <n v="7"/>
    <n v="7.05"/>
  </r>
  <r>
    <n v="13"/>
    <x v="0"/>
    <n v="0.8"/>
    <n v="7.63"/>
    <n v="7.55"/>
  </r>
  <r>
    <n v="13"/>
    <x v="1"/>
    <n v="0.25"/>
    <n v="6.57"/>
    <n v="6.65"/>
  </r>
  <r>
    <n v="14"/>
    <x v="0"/>
    <n v="0.25"/>
    <n v="4"/>
    <n v="3.96"/>
  </r>
  <r>
    <n v="14"/>
    <x v="1"/>
    <n v="0.32"/>
    <n v="2.75"/>
    <n v="2.72"/>
  </r>
  <r>
    <n v="15"/>
    <x v="0"/>
    <n v="0.42859999999999998"/>
    <n v="9.67"/>
    <n v="9.57"/>
  </r>
  <r>
    <n v="15"/>
    <x v="1"/>
    <n v="0.19350000000000001"/>
    <n v="6.33"/>
    <n v="6.27"/>
  </r>
  <r>
    <n v="16"/>
    <x v="0"/>
    <n v="2"/>
    <n v="5.5"/>
    <n v="5.45"/>
  </r>
  <r>
    <n v="16"/>
    <x v="1"/>
    <n v="0.21429999999999999"/>
    <n v="10.67"/>
    <n v="10.56"/>
  </r>
  <r>
    <n v="17"/>
    <x v="0"/>
    <n v="0.625"/>
    <n v="8.4"/>
    <n v="8.32"/>
  </r>
  <r>
    <n v="17"/>
    <x v="1"/>
    <n v="0.30430000000000001"/>
    <n v="8.14"/>
    <n v="8.06"/>
  </r>
  <r>
    <n v="18"/>
    <x v="0"/>
    <n v="1.3332999999999999"/>
    <n v="10"/>
    <n v="9.9"/>
  </r>
  <r>
    <n v="18"/>
    <x v="1"/>
    <n v="0.16"/>
    <n v="10"/>
    <n v="9.9"/>
  </r>
  <r>
    <n v="19"/>
    <x v="0"/>
    <n v="0.55559999999999998"/>
    <n v="7"/>
    <n v="6.93"/>
  </r>
  <r>
    <n v="19"/>
    <x v="1"/>
    <n v="0.1739"/>
    <n v="5"/>
    <n v="4.95"/>
  </r>
  <r>
    <n v="20"/>
    <x v="0"/>
    <n v="0.25"/>
    <n v="7"/>
    <n v="6.93"/>
  </r>
  <r>
    <n v="20"/>
    <x v="1"/>
    <n v="0.26469999999999999"/>
    <n v="8.33"/>
    <n v="8.25"/>
  </r>
  <r>
    <n v="21"/>
    <x v="0"/>
    <n v="0.45450000000000002"/>
    <n v="7.6"/>
    <n v="7.52"/>
  </r>
  <r>
    <n v="21"/>
    <x v="1"/>
    <n v="0.2727"/>
    <n v="9"/>
    <n v="8.91"/>
  </r>
  <r>
    <n v="22"/>
    <x v="0"/>
    <n v="0.44440000000000002"/>
    <n v="6.25"/>
    <n v="6.19"/>
  </r>
  <r>
    <n v="22"/>
    <x v="1"/>
    <n v="0.30769999999999997"/>
    <n v="8.5"/>
    <n v="8.42"/>
  </r>
  <r>
    <n v="23"/>
    <x v="0"/>
    <n v="0.22220000000000001"/>
    <n v="8"/>
    <n v="7.92"/>
  </r>
  <r>
    <n v="23"/>
    <x v="1"/>
    <n v="0.32"/>
    <n v="6.38"/>
    <n v="6.31"/>
  </r>
  <r>
    <n v="24"/>
    <x v="0"/>
    <n v="0.16669999999999999"/>
    <n v="6.5"/>
    <n v="6.44"/>
  </r>
  <r>
    <n v="24"/>
    <x v="1"/>
    <n v="0.1875"/>
    <n v="9.83"/>
    <n v="9.74"/>
  </r>
  <r>
    <n v="25"/>
    <x v="0"/>
    <n v="0.2"/>
    <n v="3"/>
    <n v="2.97"/>
  </r>
  <r>
    <n v="25"/>
    <x v="1"/>
    <n v="0.2424"/>
    <n v="8.8800000000000008"/>
    <n v="8.7899999999999991"/>
  </r>
  <r>
    <n v="26"/>
    <x v="0"/>
    <n v="0.25"/>
    <n v="7.33"/>
    <n v="7.26"/>
  </r>
  <r>
    <n v="26"/>
    <x v="1"/>
    <n v="0.32140000000000002"/>
    <n v="7.22"/>
    <n v="7.15"/>
  </r>
  <r>
    <n v="27"/>
    <x v="0"/>
    <n v="1"/>
    <n v="17"/>
    <n v="16.829999999999998"/>
  </r>
  <r>
    <n v="27"/>
    <x v="1"/>
    <n v="0.25"/>
    <n v="8.5"/>
    <n v="8.42"/>
  </r>
  <r>
    <n v="28"/>
    <x v="0"/>
    <n v="0.5"/>
    <n v="5"/>
    <n v="4.95"/>
  </r>
  <r>
    <n v="28"/>
    <x v="1"/>
    <n v="0.31819999999999998"/>
    <n v="8.14"/>
    <n v="8.1999999999999993"/>
  </r>
  <r>
    <n v="29"/>
    <x v="0"/>
    <n v="1"/>
    <n v="6"/>
    <n v="5.94"/>
  </r>
  <r>
    <n v="29"/>
    <x v="1"/>
    <n v="0.1429"/>
    <n v="11.67"/>
    <n v="11.55"/>
  </r>
  <r>
    <n v="30"/>
    <x v="0"/>
    <n v="0.5"/>
    <n v="9"/>
    <n v="8.91"/>
  </r>
  <r>
    <n v="30"/>
    <x v="1"/>
    <n v="0.39129999999999998"/>
    <n v="6.22"/>
    <n v="6.16"/>
  </r>
  <r>
    <n v="31"/>
    <x v="0"/>
    <n v="0.75"/>
    <n v="4"/>
    <n v="3.96"/>
  </r>
  <r>
    <n v="31"/>
    <x v="1"/>
    <n v="0.3125"/>
    <n v="7.8"/>
    <n v="7.72"/>
  </r>
  <r>
    <n v="32"/>
    <x v="0"/>
    <n v="0.75"/>
    <n v="11.67"/>
    <n v="11.55"/>
  </r>
  <r>
    <n v="32"/>
    <x v="1"/>
    <n v="0.35709999999999997"/>
    <n v="7.2"/>
    <n v="7.13"/>
  </r>
  <r>
    <n v="33"/>
    <x v="0"/>
    <n v="0.58330000000000004"/>
    <n v="6"/>
    <n v="5.94"/>
  </r>
  <r>
    <n v="33"/>
    <x v="1"/>
    <n v="0.2"/>
    <n v="6.8"/>
    <n v="6.73"/>
  </r>
  <r>
    <n v="34"/>
    <x v="0"/>
    <n v="0.33329999999999999"/>
    <n v="8"/>
    <n v="7.92"/>
  </r>
  <r>
    <n v="34"/>
    <x v="1"/>
    <n v="0.3125"/>
    <n v="7.9"/>
    <n v="7.92"/>
  </r>
  <r>
    <n v="35"/>
    <x v="0"/>
    <n v="0.54549999999999998"/>
    <n v="5.83"/>
    <n v="5.78"/>
  </r>
  <r>
    <n v="35"/>
    <x v="1"/>
    <n v="0.3125"/>
    <n v="4.8"/>
    <n v="4.75"/>
  </r>
  <r>
    <n v="36"/>
    <x v="0"/>
    <n v="0.75"/>
    <n v="11"/>
    <n v="10.89"/>
  </r>
  <r>
    <n v="36"/>
    <x v="1"/>
    <n v="0.3478"/>
    <n v="6.63"/>
    <n v="6.56"/>
  </r>
  <r>
    <n v="37"/>
    <x v="0"/>
    <n v="0.16669999999999999"/>
    <n v="10"/>
    <n v="9.9"/>
  </r>
  <r>
    <n v="37"/>
    <x v="1"/>
    <n v="0.32"/>
    <n v="9.25"/>
    <n v="9.2799999999999994"/>
  </r>
  <r>
    <n v="38"/>
    <x v="0"/>
    <n v="0.5"/>
    <n v="11"/>
    <n v="10.89"/>
  </r>
  <r>
    <n v="38"/>
    <x v="1"/>
    <n v="0.26919999999999999"/>
    <n v="7.43"/>
    <n v="7.35"/>
  </r>
  <r>
    <n v="39"/>
    <x v="0"/>
    <n v="0.5"/>
    <n v="9"/>
    <n v="8.91"/>
  </r>
  <r>
    <n v="39"/>
    <x v="1"/>
    <n v="0.1154"/>
    <n v="8.67"/>
    <n v="8.58"/>
  </r>
  <r>
    <n v="40"/>
    <x v="0"/>
    <n v="0.4"/>
    <n v="7.5"/>
    <n v="7.43"/>
  </r>
  <r>
    <n v="40"/>
    <x v="1"/>
    <n v="0.30430000000000001"/>
    <n v="8.2899999999999991"/>
    <n v="8.1999999999999993"/>
  </r>
  <r>
    <n v="41"/>
    <x v="0"/>
    <n v="0.44440000000000002"/>
    <n v="6"/>
    <n v="5.94"/>
  </r>
  <r>
    <n v="41"/>
    <x v="1"/>
    <n v="0.625"/>
    <n v="8.1999999999999993"/>
    <n v="8.1199999999999992"/>
  </r>
  <r>
    <n v="42"/>
    <x v="0"/>
    <n v="0.2727"/>
    <n v="7.67"/>
    <n v="7.59"/>
  </r>
  <r>
    <n v="42"/>
    <x v="1"/>
    <n v="0.23530000000000001"/>
    <n v="9.75"/>
    <n v="9.65"/>
  </r>
  <r>
    <n v="43"/>
    <x v="0"/>
    <n v="0.66669999999999996"/>
    <n v="6"/>
    <n v="6.44"/>
  </r>
  <r>
    <n v="43"/>
    <x v="1"/>
    <n v="0.47620000000000001"/>
    <n v="6.1"/>
    <n v="6.04"/>
  </r>
  <r>
    <n v="44"/>
    <x v="0"/>
    <n v="0.375"/>
    <n v="6.33"/>
    <n v="6.27"/>
  </r>
  <r>
    <n v="44"/>
    <x v="1"/>
    <n v="0.27589999999999998"/>
    <n v="7.63"/>
    <n v="7.55"/>
  </r>
  <r>
    <n v="45"/>
    <x v="0"/>
    <n v="0.41670000000000001"/>
    <n v="10.4"/>
    <n v="10.3"/>
  </r>
  <r>
    <n v="45"/>
    <x v="1"/>
    <n v="0.1613"/>
    <n v="5.4"/>
    <n v="5.35"/>
  </r>
  <r>
    <n v="46"/>
    <x v="0"/>
    <n v="0.33329999999999999"/>
    <n v="7.25"/>
    <n v="7.18"/>
  </r>
  <r>
    <n v="46"/>
    <x v="1"/>
    <n v="0.26469999999999999"/>
    <n v="9.56"/>
    <n v="9.57"/>
  </r>
  <r>
    <n v="47"/>
    <x v="0"/>
    <n v="0.4"/>
    <n v="3.25"/>
    <n v="3.22"/>
  </r>
  <r>
    <n v="47"/>
    <x v="1"/>
    <n v="0.1923"/>
    <n v="7.6"/>
    <n v="7.52"/>
  </r>
  <r>
    <n v="48"/>
    <x v="0"/>
    <n v="0.25"/>
    <n v="9.5"/>
    <n v="9.41"/>
  </r>
  <r>
    <n v="48"/>
    <x v="1"/>
    <n v="0.38100000000000001"/>
    <n v="5.75"/>
    <n v="5.82"/>
  </r>
  <r>
    <n v="49"/>
    <x v="0"/>
    <n v="1"/>
    <n v="9"/>
    <n v="8.91"/>
  </r>
  <r>
    <n v="49"/>
    <x v="1"/>
    <n v="0.22220000000000001"/>
    <n v="7.13"/>
    <n v="7.3"/>
  </r>
  <r>
    <n v="50"/>
    <x v="0"/>
    <n v="0.33329999999999999"/>
    <n v="8.5"/>
    <n v="8.42"/>
  </r>
  <r>
    <n v="50"/>
    <x v="1"/>
    <n v="0.42859999999999998"/>
    <n v="9.11"/>
    <n v="9.02"/>
  </r>
  <r>
    <n v="51"/>
    <x v="0"/>
    <n v="0.33329999999999999"/>
    <n v="6"/>
    <n v="5.94"/>
  </r>
  <r>
    <n v="51"/>
    <x v="1"/>
    <n v="0.1875"/>
    <n v="8.67"/>
    <n v="8.58"/>
  </r>
  <r>
    <n v="52"/>
    <x v="0"/>
    <n v="1"/>
    <n v="13"/>
    <n v="12.87"/>
  </r>
  <r>
    <n v="52"/>
    <x v="1"/>
    <n v="0.21879999999999999"/>
    <n v="8"/>
    <n v="7.92"/>
  </r>
  <r>
    <n v="53"/>
    <x v="0"/>
    <n v="0.25"/>
    <n v="9.67"/>
    <n v="9.57"/>
  </r>
  <r>
    <n v="53"/>
    <x v="1"/>
    <n v="0.2424"/>
    <n v="8.75"/>
    <n v="8.66"/>
  </r>
  <r>
    <n v="54"/>
    <x v="0"/>
    <n v="0.2"/>
    <n v="8"/>
    <n v="7.92"/>
  </r>
  <r>
    <n v="54"/>
    <x v="1"/>
    <n v="0.7"/>
    <n v="9.14"/>
    <n v="9.0500000000000007"/>
  </r>
  <r>
    <n v="55"/>
    <x v="0"/>
    <n v="0.5"/>
    <n v="10.33"/>
    <n v="10.23"/>
  </r>
  <r>
    <n v="55"/>
    <x v="1"/>
    <n v="0.35"/>
    <n v="7.29"/>
    <n v="7.21"/>
  </r>
  <r>
    <n v="56"/>
    <x v="0"/>
    <n v="0.22220000000000001"/>
    <n v="8"/>
    <n v="7.92"/>
  </r>
  <r>
    <n v="56"/>
    <x v="1"/>
    <n v="0.23080000000000001"/>
    <n v="8"/>
    <n v="7.92"/>
  </r>
  <r>
    <n v="57"/>
    <x v="0"/>
    <n v="0.4"/>
    <n v="6"/>
    <n v="5.94"/>
  </r>
  <r>
    <n v="57"/>
    <x v="1"/>
    <n v="0.33329999999999999"/>
    <n v="8.2200000000000006"/>
    <n v="8.14"/>
  </r>
  <r>
    <n v="58"/>
    <x v="0"/>
    <n v="0.5"/>
    <n v="7.6"/>
    <n v="7.52"/>
  </r>
  <r>
    <n v="58"/>
    <x v="1"/>
    <n v="0.32"/>
    <n v="9.3800000000000008"/>
    <n v="9.2799999999999994"/>
  </r>
  <r>
    <n v="59"/>
    <x v="0"/>
    <n v="0.41670000000000001"/>
    <n v="10"/>
    <n v="9.9"/>
  </r>
  <r>
    <n v="59"/>
    <x v="1"/>
    <n v="9.3799999999999994E-2"/>
    <n v="7.33"/>
    <n v="7.2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n v="100"/>
  </r>
  <r>
    <x v="0"/>
    <x v="1"/>
    <n v="0"/>
  </r>
  <r>
    <x v="0"/>
    <x v="2"/>
    <n v="0"/>
  </r>
  <r>
    <x v="0"/>
    <x v="3"/>
    <n v="0"/>
  </r>
  <r>
    <x v="0"/>
    <x v="4"/>
    <n v="50"/>
  </r>
  <r>
    <x v="0"/>
    <x v="5"/>
    <n v="0"/>
  </r>
  <r>
    <x v="0"/>
    <x v="6"/>
    <n v="0"/>
  </r>
  <r>
    <x v="0"/>
    <x v="7"/>
    <n v="0"/>
  </r>
  <r>
    <x v="0"/>
    <x v="8"/>
    <n v="0"/>
  </r>
  <r>
    <x v="0"/>
    <x v="9"/>
    <n v="50"/>
  </r>
  <r>
    <x v="0"/>
    <x v="10"/>
    <n v="0"/>
  </r>
  <r>
    <x v="0"/>
    <x v="11"/>
    <n v="0"/>
  </r>
  <r>
    <x v="0"/>
    <x v="12"/>
    <n v="0"/>
  </r>
  <r>
    <x v="0"/>
    <x v="13"/>
    <n v="0"/>
  </r>
  <r>
    <x v="0"/>
    <x v="14"/>
    <n v="0"/>
  </r>
  <r>
    <x v="0"/>
    <x v="15"/>
    <n v="0"/>
  </r>
  <r>
    <x v="0"/>
    <x v="16"/>
    <n v="0"/>
  </r>
  <r>
    <x v="0"/>
    <x v="17"/>
    <n v="0"/>
  </r>
  <r>
    <x v="0"/>
    <x v="18"/>
    <n v="0"/>
  </r>
  <r>
    <x v="0"/>
    <x v="19"/>
    <n v="100"/>
  </r>
  <r>
    <x v="0"/>
    <x v="20"/>
    <n v="0"/>
  </r>
  <r>
    <x v="0"/>
    <x v="21"/>
    <n v="33.33"/>
  </r>
  <r>
    <x v="0"/>
    <x v="22"/>
    <n v="15.38"/>
  </r>
  <r>
    <x v="1"/>
    <x v="23"/>
    <n v="0"/>
  </r>
  <r>
    <x v="1"/>
    <x v="1"/>
    <n v="0"/>
  </r>
  <r>
    <x v="1"/>
    <x v="2"/>
    <n v="0"/>
  </r>
  <r>
    <x v="1"/>
    <x v="3"/>
    <n v="0"/>
  </r>
  <r>
    <x v="1"/>
    <x v="4"/>
    <n v="25"/>
  </r>
  <r>
    <x v="1"/>
    <x v="5"/>
    <n v="0"/>
  </r>
  <r>
    <x v="1"/>
    <x v="6"/>
    <n v="0"/>
  </r>
  <r>
    <x v="1"/>
    <x v="7"/>
    <n v="0"/>
  </r>
  <r>
    <x v="1"/>
    <x v="8"/>
    <n v="0"/>
  </r>
  <r>
    <x v="1"/>
    <x v="9"/>
    <n v="66.67"/>
  </r>
  <r>
    <x v="1"/>
    <x v="10"/>
    <n v="0"/>
  </r>
  <r>
    <x v="1"/>
    <x v="11"/>
    <n v="0"/>
  </r>
  <r>
    <x v="1"/>
    <x v="12"/>
    <n v="50"/>
  </r>
  <r>
    <x v="1"/>
    <x v="13"/>
    <n v="100"/>
  </r>
  <r>
    <x v="1"/>
    <x v="14"/>
    <n v="0"/>
  </r>
  <r>
    <x v="1"/>
    <x v="15"/>
    <n v="0"/>
  </r>
  <r>
    <x v="1"/>
    <x v="16"/>
    <n v="100"/>
  </r>
  <r>
    <x v="1"/>
    <x v="17"/>
    <n v="0"/>
  </r>
  <r>
    <x v="1"/>
    <x v="18"/>
    <n v="0"/>
  </r>
  <r>
    <x v="1"/>
    <x v="20"/>
    <n v="100"/>
  </r>
  <r>
    <x v="1"/>
    <x v="21"/>
    <n v="50"/>
  </r>
  <r>
    <x v="1"/>
    <x v="22"/>
    <n v="27.27"/>
  </r>
  <r>
    <x v="2"/>
    <x v="23"/>
    <n v="100"/>
  </r>
  <r>
    <x v="2"/>
    <x v="1"/>
    <n v="0"/>
  </r>
  <r>
    <x v="2"/>
    <x v="2"/>
    <n v="100"/>
  </r>
  <r>
    <x v="2"/>
    <x v="3"/>
    <n v="0"/>
  </r>
  <r>
    <x v="2"/>
    <x v="4"/>
    <n v="0"/>
  </r>
  <r>
    <x v="2"/>
    <x v="5"/>
    <n v="0"/>
  </r>
  <r>
    <x v="2"/>
    <x v="6"/>
    <n v="0"/>
  </r>
  <r>
    <x v="2"/>
    <x v="7"/>
    <n v="0"/>
  </r>
  <r>
    <x v="2"/>
    <x v="8"/>
    <n v="0"/>
  </r>
  <r>
    <x v="2"/>
    <x v="9"/>
    <n v="0"/>
  </r>
  <r>
    <x v="2"/>
    <x v="10"/>
    <n v="25"/>
  </r>
  <r>
    <x v="2"/>
    <x v="11"/>
    <n v="100"/>
  </r>
  <r>
    <x v="2"/>
    <x v="12"/>
    <n v="0"/>
  </r>
  <r>
    <x v="2"/>
    <x v="14"/>
    <n v="0"/>
  </r>
  <r>
    <x v="2"/>
    <x v="15"/>
    <n v="0"/>
  </r>
  <r>
    <x v="2"/>
    <x v="17"/>
    <n v="0"/>
  </r>
  <r>
    <x v="2"/>
    <x v="18"/>
    <n v="0"/>
  </r>
  <r>
    <x v="2"/>
    <x v="21"/>
    <n v="0"/>
  </r>
  <r>
    <x v="2"/>
    <x v="22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72556-21A4-4838-AAEF-F0DA99660804}" name="PivotTable12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Y54:AC67" firstHeaderRow="1" firstDataRow="2" firstDataCol="1"/>
  <pivotFields count="5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sales_count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66C1B-C443-415C-9259-7BE5C248CE42}" name="PivotTable4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58:K69" firstHeaderRow="0" firstDataRow="1" firstDataCol="1"/>
  <pivotFields count="5">
    <pivotField axis="axisRow" showAll="0" measure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1">
    <i>
      <x v="4"/>
    </i>
    <i>
      <x v="5"/>
    </i>
    <i>
      <x v="7"/>
    </i>
    <i>
      <x v="10"/>
    </i>
    <i>
      <x v="11"/>
    </i>
    <i>
      <x v="13"/>
    </i>
    <i>
      <x v="14"/>
    </i>
    <i>
      <x v="19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number_of_invoice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823B-E8B6-4A41-9A3D-5254A2F94FE1}" name="PivotTable12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Y85:AC98" firstHeaderRow="1" firstDataRow="2" firstDataCol="1"/>
  <pivotFields count="5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tracks_bought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4EC4D-AAEB-4518-856E-B9E9394947E5}" name="PivotTable12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Y70:AC83" firstHeaderRow="1" firstDataRow="2" firstDataCol="1"/>
  <pivotFields count="5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revenue_gen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F9BC3-86FE-4778-891F-17AEFE88DCB4}" name="PivotTable6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X46:AA71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3">
    <i>
      <x/>
    </i>
    <i>
      <x v="1"/>
    </i>
    <i>
      <x v="2"/>
    </i>
  </colItems>
  <dataFields count="1">
    <dataField name="Sum of churn_rate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56DCB-5E5A-4480-908B-69D6016DB971}" name="PivotTable3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B65:E67" firstHeaderRow="0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g_freq" fld="2" subtotal="average" baseField="1" baseItem="0"/>
    <dataField name="avg_size" fld="3" subtotal="average" baseField="1" baseItem="0"/>
    <dataField name="avg_spend" fld="4" subtotal="average" baseField="1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3C01A-FC07-4DCF-A861-2D05C376EA3A}" name="PivotTable3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5:C61" firstHeaderRow="1" firstDataRow="1" firstDataCol="1"/>
  <pivotFields count="5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2"/>
    <field x="0"/>
  </rowFields>
  <rowItems count="2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415E-C17E-476B-B073-92A52AE2D8E7}">
  <dimension ref="A2:BB98"/>
  <sheetViews>
    <sheetView workbookViewId="0">
      <selection activeCell="BD8" sqref="BD8"/>
    </sheetView>
  </sheetViews>
  <sheetFormatPr defaultRowHeight="14.4" x14ac:dyDescent="0.3"/>
  <cols>
    <col min="2" max="2" width="13.5546875" bestFit="1" customWidth="1"/>
    <col min="3" max="3" width="14.109375" bestFit="1" customWidth="1"/>
    <col min="9" max="9" width="20.88671875" bestFit="1" customWidth="1"/>
    <col min="10" max="10" width="18.44140625" bestFit="1" customWidth="1"/>
    <col min="11" max="11" width="20.109375" customWidth="1"/>
    <col min="12" max="12" width="16.21875" customWidth="1"/>
    <col min="13" max="13" width="17" bestFit="1" customWidth="1"/>
    <col min="25" max="25" width="18.88671875" bestFit="1" customWidth="1"/>
    <col min="26" max="26" width="11" customWidth="1"/>
    <col min="27" max="27" width="5" bestFit="1" customWidth="1"/>
    <col min="28" max="28" width="10.5546875" bestFit="1" customWidth="1"/>
    <col min="29" max="29" width="11.109375" bestFit="1" customWidth="1"/>
    <col min="30" max="30" width="11" customWidth="1"/>
    <col min="31" max="31" width="17.44140625" bestFit="1" customWidth="1"/>
    <col min="32" max="32" width="16.88671875" bestFit="1" customWidth="1"/>
    <col min="33" max="33" width="17.44140625" bestFit="1" customWidth="1"/>
    <col min="44" max="44" width="20.21875" bestFit="1" customWidth="1"/>
    <col min="54" max="54" width="19.21875" bestFit="1" customWidth="1"/>
  </cols>
  <sheetData>
    <row r="2" spans="1:54" x14ac:dyDescent="0.3">
      <c r="A2" s="6" t="s">
        <v>1</v>
      </c>
      <c r="B2" s="3" t="s">
        <v>2</v>
      </c>
      <c r="C2" s="3" t="s">
        <v>3</v>
      </c>
      <c r="H2" s="6" t="s">
        <v>28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Q2" s="6" t="s">
        <v>29</v>
      </c>
      <c r="R2" s="3" t="s">
        <v>30</v>
      </c>
      <c r="S2" s="3" t="s">
        <v>113</v>
      </c>
      <c r="T2" s="3" t="s">
        <v>114</v>
      </c>
      <c r="U2" s="3" t="s">
        <v>115</v>
      </c>
      <c r="V2" s="3" t="s">
        <v>116</v>
      </c>
      <c r="Y2" s="6" t="s">
        <v>166</v>
      </c>
      <c r="Z2" s="3" t="s">
        <v>167</v>
      </c>
      <c r="AA2" s="3" t="s">
        <v>168</v>
      </c>
      <c r="AB2" s="3" t="s">
        <v>169</v>
      </c>
      <c r="AC2" s="3" t="s">
        <v>170</v>
      </c>
      <c r="AD2" s="3" t="s">
        <v>171</v>
      </c>
      <c r="AG2" s="6" t="s">
        <v>172</v>
      </c>
      <c r="AH2" s="3" t="s">
        <v>173</v>
      </c>
      <c r="AI2" s="3" t="s">
        <v>174</v>
      </c>
      <c r="AK2" s="6" t="s">
        <v>175</v>
      </c>
      <c r="AL2" s="3" t="s">
        <v>176</v>
      </c>
      <c r="AM2" s="3" t="s">
        <v>177</v>
      </c>
      <c r="AP2" s="6" t="s">
        <v>195</v>
      </c>
      <c r="AQ2" s="3" t="s">
        <v>113</v>
      </c>
      <c r="AR2" s="3" t="s">
        <v>114</v>
      </c>
      <c r="AU2" s="6" t="s">
        <v>207</v>
      </c>
      <c r="AV2" s="3" t="s">
        <v>176</v>
      </c>
      <c r="AW2" s="3" t="s">
        <v>208</v>
      </c>
      <c r="AX2" s="3" t="s">
        <v>116</v>
      </c>
      <c r="AZ2" s="6" t="s">
        <v>209</v>
      </c>
      <c r="BA2" s="3" t="s">
        <v>113</v>
      </c>
      <c r="BB2" s="3" t="s">
        <v>114</v>
      </c>
    </row>
    <row r="3" spans="1:54" x14ac:dyDescent="0.3">
      <c r="B3" s="3" t="s">
        <v>4</v>
      </c>
      <c r="C3" s="3">
        <v>13</v>
      </c>
      <c r="I3" s="3" t="s">
        <v>26</v>
      </c>
      <c r="J3" s="3" t="s">
        <v>35</v>
      </c>
      <c r="K3" s="3" t="s">
        <v>36</v>
      </c>
      <c r="L3" s="3">
        <v>39.6</v>
      </c>
      <c r="M3" s="3">
        <v>5</v>
      </c>
      <c r="R3" s="3" t="s">
        <v>26</v>
      </c>
      <c r="S3" s="3">
        <v>56</v>
      </c>
      <c r="T3" s="3" t="s">
        <v>117</v>
      </c>
      <c r="U3" s="3">
        <v>39.6</v>
      </c>
      <c r="V3" s="3">
        <v>1</v>
      </c>
      <c r="Z3" s="7">
        <v>2017</v>
      </c>
      <c r="AA3" s="7">
        <v>1</v>
      </c>
      <c r="AB3" s="7">
        <v>17</v>
      </c>
      <c r="AC3" s="7">
        <v>126.72</v>
      </c>
      <c r="AD3" s="7">
        <v>128</v>
      </c>
      <c r="AH3" s="3">
        <v>2018</v>
      </c>
      <c r="AI3" s="3">
        <v>19.3</v>
      </c>
      <c r="AL3" s="3" t="s">
        <v>178</v>
      </c>
      <c r="AM3" s="3">
        <v>53.43</v>
      </c>
      <c r="AQ3" s="3">
        <v>1</v>
      </c>
      <c r="AR3" s="3" t="s">
        <v>121</v>
      </c>
      <c r="AV3" s="3" t="s">
        <v>178</v>
      </c>
      <c r="AW3" s="3">
        <v>555.39</v>
      </c>
      <c r="AX3" s="3">
        <v>1</v>
      </c>
      <c r="BA3" s="3">
        <v>1</v>
      </c>
      <c r="BB3" s="3" t="s">
        <v>121</v>
      </c>
    </row>
    <row r="4" spans="1:54" x14ac:dyDescent="0.3">
      <c r="B4" s="3" t="s">
        <v>5</v>
      </c>
      <c r="C4" s="3">
        <v>8</v>
      </c>
      <c r="I4" s="3" t="s">
        <v>25</v>
      </c>
      <c r="J4" s="3" t="s">
        <v>37</v>
      </c>
      <c r="K4" s="3" t="s">
        <v>38</v>
      </c>
      <c r="L4" s="3">
        <v>81.180000000000007</v>
      </c>
      <c r="M4" s="3">
        <v>10</v>
      </c>
      <c r="R4" s="3" t="s">
        <v>25</v>
      </c>
      <c r="S4" s="3">
        <v>55</v>
      </c>
      <c r="T4" s="3" t="s">
        <v>118</v>
      </c>
      <c r="U4" s="3">
        <v>81.180000000000007</v>
      </c>
      <c r="V4" s="3">
        <v>1</v>
      </c>
      <c r="Z4" s="7">
        <v>2017</v>
      </c>
      <c r="AA4" s="7">
        <v>2</v>
      </c>
      <c r="AB4" s="7">
        <v>19</v>
      </c>
      <c r="AC4" s="7">
        <v>140.58000000000001</v>
      </c>
      <c r="AD4" s="7">
        <v>142</v>
      </c>
      <c r="AH4" s="3">
        <v>2019</v>
      </c>
      <c r="AI4" s="3">
        <v>22.92</v>
      </c>
      <c r="AL4" s="3" t="s">
        <v>179</v>
      </c>
      <c r="AM4" s="3">
        <v>12.29</v>
      </c>
      <c r="AQ4" s="3">
        <v>2</v>
      </c>
      <c r="AR4" s="3" t="s">
        <v>143</v>
      </c>
      <c r="AV4" s="3" t="s">
        <v>179</v>
      </c>
      <c r="AW4" s="3">
        <v>127.71</v>
      </c>
      <c r="AX4" s="3">
        <v>2</v>
      </c>
      <c r="BA4" s="3">
        <v>3</v>
      </c>
      <c r="BB4" s="3" t="s">
        <v>126</v>
      </c>
    </row>
    <row r="5" spans="1:54" x14ac:dyDescent="0.3">
      <c r="B5" s="3" t="s">
        <v>6</v>
      </c>
      <c r="C5" s="3">
        <v>5</v>
      </c>
      <c r="I5" s="3" t="s">
        <v>14</v>
      </c>
      <c r="J5" s="3" t="s">
        <v>35</v>
      </c>
      <c r="K5" s="3" t="s">
        <v>39</v>
      </c>
      <c r="L5" s="3">
        <v>69.3</v>
      </c>
      <c r="M5" s="3">
        <v>9</v>
      </c>
      <c r="R5" s="3" t="s">
        <v>14</v>
      </c>
      <c r="S5" s="3">
        <v>7</v>
      </c>
      <c r="T5" s="3" t="s">
        <v>119</v>
      </c>
      <c r="U5" s="3">
        <v>69.3</v>
      </c>
      <c r="V5" s="3">
        <v>1</v>
      </c>
      <c r="Z5" s="7">
        <v>2017</v>
      </c>
      <c r="AA5" s="7">
        <v>3</v>
      </c>
      <c r="AB5" s="7">
        <v>13</v>
      </c>
      <c r="AC5" s="7">
        <v>102.96</v>
      </c>
      <c r="AD5" s="7">
        <v>104</v>
      </c>
      <c r="AH5" s="3">
        <v>2020</v>
      </c>
      <c r="AI5" s="3">
        <v>16.22</v>
      </c>
      <c r="AL5" s="3" t="s">
        <v>180</v>
      </c>
      <c r="AM5" s="3">
        <v>11.81</v>
      </c>
      <c r="AQ5" s="3">
        <v>3</v>
      </c>
      <c r="AR5" s="3" t="s">
        <v>126</v>
      </c>
      <c r="AV5" s="3" t="s">
        <v>180</v>
      </c>
      <c r="AW5" s="3">
        <v>122.76</v>
      </c>
      <c r="AX5" s="3">
        <v>3</v>
      </c>
      <c r="BA5" s="3">
        <v>4</v>
      </c>
      <c r="BB5" s="3" t="s">
        <v>151</v>
      </c>
    </row>
    <row r="6" spans="1:54" x14ac:dyDescent="0.3">
      <c r="B6" s="3" t="s">
        <v>7</v>
      </c>
      <c r="C6" s="3">
        <v>5</v>
      </c>
      <c r="I6" s="3" t="s">
        <v>15</v>
      </c>
      <c r="J6" s="3" t="s">
        <v>35</v>
      </c>
      <c r="K6" s="3" t="s">
        <v>40</v>
      </c>
      <c r="L6" s="3">
        <v>60.39</v>
      </c>
      <c r="M6" s="3">
        <v>7</v>
      </c>
      <c r="R6" s="3" t="s">
        <v>15</v>
      </c>
      <c r="S6" s="3">
        <v>8</v>
      </c>
      <c r="T6" s="3" t="s">
        <v>120</v>
      </c>
      <c r="U6" s="3">
        <v>60.39</v>
      </c>
      <c r="V6" s="3">
        <v>1</v>
      </c>
      <c r="Z6" s="7">
        <v>2017</v>
      </c>
      <c r="AA6" s="7">
        <v>4</v>
      </c>
      <c r="AB6" s="7">
        <v>17</v>
      </c>
      <c r="AC6" s="7">
        <v>142.56</v>
      </c>
      <c r="AD6" s="7">
        <v>144</v>
      </c>
      <c r="AL6" s="3" t="s">
        <v>181</v>
      </c>
      <c r="AM6" s="3">
        <v>5.05</v>
      </c>
      <c r="AQ6" s="3">
        <v>4</v>
      </c>
      <c r="AR6" s="3" t="s">
        <v>151</v>
      </c>
      <c r="AV6" s="3" t="s">
        <v>181</v>
      </c>
      <c r="AW6" s="3">
        <v>52.47</v>
      </c>
      <c r="AX6" s="3">
        <v>4</v>
      </c>
      <c r="BA6" s="3">
        <v>7</v>
      </c>
      <c r="BB6" s="3" t="s">
        <v>119</v>
      </c>
    </row>
    <row r="7" spans="1:54" x14ac:dyDescent="0.3">
      <c r="B7" s="3" t="s">
        <v>8</v>
      </c>
      <c r="C7" s="3">
        <v>4</v>
      </c>
      <c r="I7" s="3" t="s">
        <v>6</v>
      </c>
      <c r="J7" s="3" t="s">
        <v>41</v>
      </c>
      <c r="K7" s="3" t="s">
        <v>42</v>
      </c>
      <c r="L7" s="3">
        <v>82.17</v>
      </c>
      <c r="M7" s="3">
        <v>11</v>
      </c>
      <c r="R7" s="3" t="s">
        <v>6</v>
      </c>
      <c r="S7" s="3">
        <v>1</v>
      </c>
      <c r="T7" s="3" t="s">
        <v>121</v>
      </c>
      <c r="U7" s="3">
        <v>108.9</v>
      </c>
      <c r="V7" s="3">
        <v>1</v>
      </c>
      <c r="Z7" s="7">
        <v>2017</v>
      </c>
      <c r="AA7" s="7">
        <v>5</v>
      </c>
      <c r="AB7" s="7">
        <v>12</v>
      </c>
      <c r="AC7" s="7">
        <v>104.94</v>
      </c>
      <c r="AD7" s="7">
        <v>106</v>
      </c>
      <c r="AL7" s="3" t="s">
        <v>182</v>
      </c>
      <c r="AM7" s="3">
        <v>3.43</v>
      </c>
      <c r="AQ7" s="3">
        <v>5</v>
      </c>
      <c r="AR7" s="3" t="s">
        <v>132</v>
      </c>
      <c r="AV7" s="3" t="s">
        <v>182</v>
      </c>
      <c r="AW7" s="3">
        <v>35.64</v>
      </c>
      <c r="AX7" s="3">
        <v>5</v>
      </c>
      <c r="BA7" s="3">
        <v>8</v>
      </c>
      <c r="BB7" s="3" t="s">
        <v>120</v>
      </c>
    </row>
    <row r="8" spans="1:54" x14ac:dyDescent="0.3">
      <c r="B8" s="3" t="s">
        <v>9</v>
      </c>
      <c r="C8" s="3">
        <v>3</v>
      </c>
      <c r="I8" s="3" t="s">
        <v>6</v>
      </c>
      <c r="J8" s="3" t="s">
        <v>43</v>
      </c>
      <c r="K8" s="3" t="s">
        <v>44</v>
      </c>
      <c r="L8" s="3">
        <v>106.92</v>
      </c>
      <c r="M8" s="3">
        <v>15</v>
      </c>
      <c r="R8" s="3" t="s">
        <v>6</v>
      </c>
      <c r="S8" s="3">
        <v>13</v>
      </c>
      <c r="T8" s="3" t="s">
        <v>122</v>
      </c>
      <c r="U8" s="3">
        <v>106.92</v>
      </c>
      <c r="V8" s="3">
        <v>2</v>
      </c>
      <c r="Z8" s="7">
        <v>2017</v>
      </c>
      <c r="AA8" s="7">
        <v>6</v>
      </c>
      <c r="AB8" s="7">
        <v>12</v>
      </c>
      <c r="AC8" s="7">
        <v>75.239999999999995</v>
      </c>
      <c r="AD8" s="7">
        <v>76</v>
      </c>
      <c r="AL8" s="3" t="s">
        <v>183</v>
      </c>
      <c r="AM8" s="3">
        <v>3.33</v>
      </c>
      <c r="AQ8" s="3">
        <v>6</v>
      </c>
      <c r="AR8" s="3" t="s">
        <v>133</v>
      </c>
      <c r="AV8" s="3" t="s">
        <v>183</v>
      </c>
      <c r="AW8" s="3">
        <v>34.65</v>
      </c>
      <c r="AX8" s="3">
        <v>6</v>
      </c>
      <c r="BA8" s="3">
        <v>9</v>
      </c>
      <c r="BB8" s="3" t="s">
        <v>134</v>
      </c>
    </row>
    <row r="9" spans="1:54" x14ac:dyDescent="0.3">
      <c r="B9" s="3" t="s">
        <v>10</v>
      </c>
      <c r="C9" s="3">
        <v>2</v>
      </c>
      <c r="I9" s="3" t="s">
        <v>6</v>
      </c>
      <c r="J9" s="3" t="s">
        <v>45</v>
      </c>
      <c r="K9" s="3" t="s">
        <v>46</v>
      </c>
      <c r="L9" s="3">
        <v>108.9</v>
      </c>
      <c r="M9" s="3">
        <v>13</v>
      </c>
      <c r="R9" s="3" t="s">
        <v>6</v>
      </c>
      <c r="S9" s="3">
        <v>12</v>
      </c>
      <c r="T9" s="3" t="s">
        <v>123</v>
      </c>
      <c r="U9" s="3">
        <v>82.17</v>
      </c>
      <c r="V9" s="3">
        <v>3</v>
      </c>
      <c r="Z9" s="7">
        <v>2017</v>
      </c>
      <c r="AA9" s="7">
        <v>7</v>
      </c>
      <c r="AB9" s="7">
        <v>11</v>
      </c>
      <c r="AC9" s="7">
        <v>108.9</v>
      </c>
      <c r="AD9" s="7">
        <v>110</v>
      </c>
      <c r="AL9" s="3" t="s">
        <v>184</v>
      </c>
      <c r="AM9" s="3">
        <v>2.1</v>
      </c>
      <c r="AQ9" s="3">
        <v>7</v>
      </c>
      <c r="AR9" s="3" t="s">
        <v>119</v>
      </c>
      <c r="AV9" s="3" t="s">
        <v>184</v>
      </c>
      <c r="AW9" s="3">
        <v>21.78</v>
      </c>
      <c r="AX9" s="3">
        <v>7</v>
      </c>
      <c r="BA9" s="3">
        <v>10</v>
      </c>
      <c r="BB9" s="3" t="s">
        <v>125</v>
      </c>
    </row>
    <row r="10" spans="1:54" x14ac:dyDescent="0.3">
      <c r="B10" s="3" t="s">
        <v>11</v>
      </c>
      <c r="C10" s="3">
        <v>2</v>
      </c>
      <c r="I10" s="3" t="s">
        <v>6</v>
      </c>
      <c r="J10" s="3" t="s">
        <v>45</v>
      </c>
      <c r="K10" s="3" t="s">
        <v>47</v>
      </c>
      <c r="L10" s="3">
        <v>129.69</v>
      </c>
      <c r="M10" s="3">
        <v>22</v>
      </c>
      <c r="R10" s="3" t="s">
        <v>6</v>
      </c>
      <c r="S10" s="3">
        <v>11</v>
      </c>
      <c r="T10" s="3" t="s">
        <v>124</v>
      </c>
      <c r="U10" s="3">
        <v>69.3</v>
      </c>
      <c r="V10" s="3">
        <v>4</v>
      </c>
      <c r="Z10" s="7">
        <v>2017</v>
      </c>
      <c r="AA10" s="7">
        <v>8</v>
      </c>
      <c r="AB10" s="7">
        <v>11</v>
      </c>
      <c r="AC10" s="7">
        <v>88.11</v>
      </c>
      <c r="AD10" s="7">
        <v>89</v>
      </c>
      <c r="AL10" s="3" t="s">
        <v>185</v>
      </c>
      <c r="AM10" s="3">
        <v>2.1</v>
      </c>
      <c r="AQ10" s="3">
        <v>8</v>
      </c>
      <c r="AR10" s="3" t="s">
        <v>120</v>
      </c>
      <c r="AV10" s="3" t="s">
        <v>185</v>
      </c>
      <c r="AW10" s="3">
        <v>21.78</v>
      </c>
      <c r="AX10" s="3">
        <v>7</v>
      </c>
      <c r="BA10" s="3">
        <v>11</v>
      </c>
      <c r="BB10" s="3" t="s">
        <v>124</v>
      </c>
    </row>
    <row r="11" spans="1:54" x14ac:dyDescent="0.3">
      <c r="B11" s="3" t="s">
        <v>12</v>
      </c>
      <c r="C11" s="3">
        <v>2</v>
      </c>
      <c r="I11" s="3" t="s">
        <v>5</v>
      </c>
      <c r="J11" s="3" t="s">
        <v>48</v>
      </c>
      <c r="K11" s="3" t="s">
        <v>49</v>
      </c>
      <c r="L11" s="3">
        <v>29.7</v>
      </c>
      <c r="M11" s="3">
        <v>10</v>
      </c>
      <c r="R11" s="3" t="s">
        <v>6</v>
      </c>
      <c r="S11" s="3">
        <v>10</v>
      </c>
      <c r="T11" s="3" t="s">
        <v>125</v>
      </c>
      <c r="U11" s="3">
        <v>60.39</v>
      </c>
      <c r="V11" s="3">
        <v>5</v>
      </c>
      <c r="Z11" s="7">
        <v>2017</v>
      </c>
      <c r="AA11" s="7">
        <v>9</v>
      </c>
      <c r="AB11" s="7">
        <v>13</v>
      </c>
      <c r="AC11" s="7">
        <v>107.91</v>
      </c>
      <c r="AD11" s="7">
        <v>109</v>
      </c>
      <c r="AL11" s="3" t="s">
        <v>186</v>
      </c>
      <c r="AM11" s="3">
        <v>1.9</v>
      </c>
      <c r="AQ11" s="3">
        <v>9</v>
      </c>
      <c r="AR11" s="3" t="s">
        <v>134</v>
      </c>
      <c r="AV11" s="3" t="s">
        <v>186</v>
      </c>
      <c r="AW11" s="3">
        <v>19.8</v>
      </c>
      <c r="AX11" s="3">
        <v>9</v>
      </c>
      <c r="BA11" s="3">
        <v>17</v>
      </c>
      <c r="BB11" s="3" t="s">
        <v>160</v>
      </c>
    </row>
    <row r="12" spans="1:54" x14ac:dyDescent="0.3">
      <c r="B12" s="3" t="s">
        <v>13</v>
      </c>
      <c r="C12" s="3">
        <v>1</v>
      </c>
      <c r="I12" s="3" t="s">
        <v>5</v>
      </c>
      <c r="J12" s="3" t="s">
        <v>50</v>
      </c>
      <c r="K12" s="3" t="s">
        <v>51</v>
      </c>
      <c r="L12" s="3">
        <v>40.590000000000003</v>
      </c>
      <c r="M12" s="3">
        <v>4</v>
      </c>
      <c r="R12" s="3" t="s">
        <v>5</v>
      </c>
      <c r="S12" s="3">
        <v>3</v>
      </c>
      <c r="T12" s="3" t="s">
        <v>126</v>
      </c>
      <c r="U12" s="3">
        <v>99.99</v>
      </c>
      <c r="V12" s="3">
        <v>1</v>
      </c>
      <c r="Z12" s="7">
        <v>2017</v>
      </c>
      <c r="AA12" s="7">
        <v>10</v>
      </c>
      <c r="AB12" s="7">
        <v>13</v>
      </c>
      <c r="AC12" s="7">
        <v>79.2</v>
      </c>
      <c r="AD12" s="7">
        <v>80</v>
      </c>
      <c r="AL12" s="3" t="s">
        <v>187</v>
      </c>
      <c r="AM12" s="3">
        <v>1.33</v>
      </c>
      <c r="AQ12" s="3">
        <v>10</v>
      </c>
      <c r="AR12" s="3" t="s">
        <v>125</v>
      </c>
      <c r="AV12" s="3" t="s">
        <v>187</v>
      </c>
      <c r="AW12" s="3">
        <v>13.86</v>
      </c>
      <c r="AX12" s="3">
        <v>10</v>
      </c>
      <c r="BA12" s="3">
        <v>18</v>
      </c>
      <c r="BB12" s="3" t="s">
        <v>198</v>
      </c>
    </row>
    <row r="13" spans="1:54" x14ac:dyDescent="0.3">
      <c r="B13" s="3" t="s">
        <v>14</v>
      </c>
      <c r="C13" s="3">
        <v>1</v>
      </c>
      <c r="I13" s="3" t="s">
        <v>5</v>
      </c>
      <c r="J13" s="3" t="s">
        <v>52</v>
      </c>
      <c r="K13" s="3" t="s">
        <v>53</v>
      </c>
      <c r="L13" s="3">
        <v>62.37</v>
      </c>
      <c r="M13" s="3">
        <v>11</v>
      </c>
      <c r="R13" s="3" t="s">
        <v>5</v>
      </c>
      <c r="S13" s="3">
        <v>30</v>
      </c>
      <c r="T13" s="3" t="s">
        <v>127</v>
      </c>
      <c r="U13" s="3">
        <v>91.08</v>
      </c>
      <c r="V13" s="3">
        <v>2</v>
      </c>
      <c r="Z13" s="7">
        <v>2017</v>
      </c>
      <c r="AA13" s="7">
        <v>11</v>
      </c>
      <c r="AB13" s="7">
        <v>11</v>
      </c>
      <c r="AC13" s="7">
        <v>94.05</v>
      </c>
      <c r="AD13" s="7">
        <v>95</v>
      </c>
      <c r="AL13" s="3" t="s">
        <v>188</v>
      </c>
      <c r="AM13" s="3">
        <v>1.24</v>
      </c>
      <c r="AQ13" s="3">
        <v>11</v>
      </c>
      <c r="AR13" s="3" t="s">
        <v>124</v>
      </c>
      <c r="AV13" s="3" t="s">
        <v>188</v>
      </c>
      <c r="AW13" s="3">
        <v>12.87</v>
      </c>
      <c r="AX13" s="3">
        <v>11</v>
      </c>
      <c r="BA13" s="3">
        <v>19</v>
      </c>
      <c r="BB13" s="3" t="s">
        <v>199</v>
      </c>
    </row>
    <row r="14" spans="1:54" x14ac:dyDescent="0.3">
      <c r="B14" s="3" t="s">
        <v>15</v>
      </c>
      <c r="C14" s="3">
        <v>1</v>
      </c>
      <c r="I14" s="3" t="s">
        <v>5</v>
      </c>
      <c r="J14" s="3" t="s">
        <v>54</v>
      </c>
      <c r="K14" s="3" t="s">
        <v>55</v>
      </c>
      <c r="L14" s="3">
        <v>66.33</v>
      </c>
      <c r="M14" s="3">
        <v>9</v>
      </c>
      <c r="R14" s="3" t="s">
        <v>5</v>
      </c>
      <c r="S14" s="3">
        <v>33</v>
      </c>
      <c r="T14" s="3" t="s">
        <v>128</v>
      </c>
      <c r="U14" s="3">
        <v>75.239999999999995</v>
      </c>
      <c r="V14" s="3">
        <v>3</v>
      </c>
      <c r="Z14" s="7">
        <v>2017</v>
      </c>
      <c r="AA14" s="7">
        <v>12</v>
      </c>
      <c r="AB14" s="7">
        <v>5</v>
      </c>
      <c r="AC14" s="7">
        <v>28.71</v>
      </c>
      <c r="AD14" s="7">
        <v>29</v>
      </c>
      <c r="AL14" s="3" t="s">
        <v>189</v>
      </c>
      <c r="AM14" s="3">
        <v>0.56999999999999995</v>
      </c>
      <c r="AQ14" s="3">
        <v>12</v>
      </c>
      <c r="AR14" s="3" t="s">
        <v>123</v>
      </c>
      <c r="AV14" s="3" t="s">
        <v>189</v>
      </c>
      <c r="AW14" s="3">
        <v>5.94</v>
      </c>
      <c r="AX14" s="3">
        <v>12</v>
      </c>
      <c r="BA14" s="3">
        <v>36</v>
      </c>
      <c r="BB14" s="3" t="s">
        <v>142</v>
      </c>
    </row>
    <row r="15" spans="1:54" x14ac:dyDescent="0.3">
      <c r="B15" s="3" t="s">
        <v>16</v>
      </c>
      <c r="C15" s="3">
        <v>1</v>
      </c>
      <c r="I15" s="3" t="s">
        <v>5</v>
      </c>
      <c r="J15" s="3" t="s">
        <v>56</v>
      </c>
      <c r="K15" s="3" t="s">
        <v>57</v>
      </c>
      <c r="L15" s="3">
        <v>70.290000000000006</v>
      </c>
      <c r="M15" s="3">
        <v>8</v>
      </c>
      <c r="R15" s="3" t="s">
        <v>5</v>
      </c>
      <c r="S15" s="3">
        <v>32</v>
      </c>
      <c r="T15" s="3" t="s">
        <v>129</v>
      </c>
      <c r="U15" s="3">
        <v>70.290000000000006</v>
      </c>
      <c r="V15" s="3">
        <v>4</v>
      </c>
      <c r="Z15" s="7">
        <v>2018</v>
      </c>
      <c r="AA15" s="7">
        <v>1</v>
      </c>
      <c r="AB15" s="7">
        <v>22</v>
      </c>
      <c r="AC15" s="7">
        <v>183.15</v>
      </c>
      <c r="AD15" s="7">
        <v>185</v>
      </c>
      <c r="AL15" s="3" t="s">
        <v>190</v>
      </c>
      <c r="AM15" s="3">
        <v>0.48</v>
      </c>
      <c r="AQ15" s="3">
        <v>13</v>
      </c>
      <c r="AR15" s="3" t="s">
        <v>122</v>
      </c>
      <c r="AV15" s="3" t="s">
        <v>190</v>
      </c>
      <c r="AW15" s="3">
        <v>4.95</v>
      </c>
      <c r="AX15" s="3">
        <v>13</v>
      </c>
      <c r="BA15" s="3">
        <v>37</v>
      </c>
      <c r="BB15" s="3" t="s">
        <v>141</v>
      </c>
    </row>
    <row r="16" spans="1:54" x14ac:dyDescent="0.3">
      <c r="B16" s="3" t="s">
        <v>17</v>
      </c>
      <c r="C16" s="3">
        <v>1</v>
      </c>
      <c r="I16" s="3" t="s">
        <v>5</v>
      </c>
      <c r="J16" s="3" t="s">
        <v>58</v>
      </c>
      <c r="K16" s="3" t="s">
        <v>59</v>
      </c>
      <c r="L16" s="3">
        <v>75.239999999999995</v>
      </c>
      <c r="M16" s="3">
        <v>12</v>
      </c>
      <c r="R16" s="3" t="s">
        <v>5</v>
      </c>
      <c r="S16" s="3">
        <v>15</v>
      </c>
      <c r="T16" s="3" t="s">
        <v>130</v>
      </c>
      <c r="U16" s="3">
        <v>66.33</v>
      </c>
      <c r="V16" s="3">
        <v>5</v>
      </c>
      <c r="Z16" s="7">
        <v>2018</v>
      </c>
      <c r="AA16" s="7">
        <v>2</v>
      </c>
      <c r="AB16" s="7">
        <v>18</v>
      </c>
      <c r="AC16" s="7">
        <v>116.82</v>
      </c>
      <c r="AD16" s="7">
        <v>118</v>
      </c>
      <c r="AL16" s="3" t="s">
        <v>191</v>
      </c>
      <c r="AM16" s="3">
        <v>0.38</v>
      </c>
      <c r="AQ16" s="3">
        <v>14</v>
      </c>
      <c r="AR16" s="3" t="s">
        <v>196</v>
      </c>
      <c r="AV16" s="3" t="s">
        <v>191</v>
      </c>
      <c r="AW16" s="3">
        <v>3.96</v>
      </c>
      <c r="AX16" s="3">
        <v>14</v>
      </c>
      <c r="BA16" s="3">
        <v>38</v>
      </c>
      <c r="BB16" s="3" t="s">
        <v>144</v>
      </c>
    </row>
    <row r="17" spans="1:54" x14ac:dyDescent="0.3">
      <c r="B17" s="3" t="s">
        <v>18</v>
      </c>
      <c r="C17" s="3">
        <v>1</v>
      </c>
      <c r="I17" s="3" t="s">
        <v>5</v>
      </c>
      <c r="J17" s="3" t="s">
        <v>50</v>
      </c>
      <c r="K17" s="3" t="s">
        <v>60</v>
      </c>
      <c r="L17" s="3">
        <v>91.08</v>
      </c>
      <c r="M17" s="3">
        <v>13</v>
      </c>
      <c r="R17" s="3" t="s">
        <v>27</v>
      </c>
      <c r="S17" s="3">
        <v>57</v>
      </c>
      <c r="T17" s="3" t="s">
        <v>131</v>
      </c>
      <c r="U17" s="3">
        <v>97.02</v>
      </c>
      <c r="V17" s="3">
        <v>1</v>
      </c>
      <c r="Z17" s="7">
        <v>2018</v>
      </c>
      <c r="AA17" s="7">
        <v>3</v>
      </c>
      <c r="AB17" s="7">
        <v>18</v>
      </c>
      <c r="AC17" s="7">
        <v>148.5</v>
      </c>
      <c r="AD17" s="7">
        <v>150</v>
      </c>
      <c r="AL17" s="3" t="s">
        <v>192</v>
      </c>
      <c r="AM17" s="3">
        <v>0.28999999999999998</v>
      </c>
      <c r="AQ17" s="3">
        <v>15</v>
      </c>
      <c r="AR17" s="3" t="s">
        <v>130</v>
      </c>
      <c r="AV17" s="3" t="s">
        <v>192</v>
      </c>
      <c r="AW17" s="3">
        <v>2.97</v>
      </c>
      <c r="AX17" s="3">
        <v>15</v>
      </c>
      <c r="BA17" s="3">
        <v>39</v>
      </c>
      <c r="BB17" s="3" t="s">
        <v>137</v>
      </c>
    </row>
    <row r="18" spans="1:54" x14ac:dyDescent="0.3">
      <c r="B18" s="3" t="s">
        <v>19</v>
      </c>
      <c r="C18" s="3">
        <v>1</v>
      </c>
      <c r="I18" s="3" t="s">
        <v>5</v>
      </c>
      <c r="J18" s="3" t="s">
        <v>61</v>
      </c>
      <c r="K18" s="3" t="s">
        <v>62</v>
      </c>
      <c r="L18" s="3">
        <v>99.99</v>
      </c>
      <c r="M18" s="3">
        <v>9</v>
      </c>
      <c r="R18" s="3" t="s">
        <v>10</v>
      </c>
      <c r="S18" s="3">
        <v>5</v>
      </c>
      <c r="T18" s="3" t="s">
        <v>132</v>
      </c>
      <c r="U18" s="3">
        <v>144.54</v>
      </c>
      <c r="V18" s="3">
        <v>1</v>
      </c>
      <c r="Z18" s="7">
        <v>2018</v>
      </c>
      <c r="AA18" s="7">
        <v>4</v>
      </c>
      <c r="AB18" s="7">
        <v>10</v>
      </c>
      <c r="AC18" s="7">
        <v>63.36</v>
      </c>
      <c r="AD18" s="7">
        <v>64</v>
      </c>
      <c r="AL18" s="3" t="s">
        <v>193</v>
      </c>
      <c r="AM18" s="3">
        <v>0.19</v>
      </c>
      <c r="AQ18" s="3">
        <v>16</v>
      </c>
      <c r="AR18" s="3" t="s">
        <v>197</v>
      </c>
      <c r="AV18" s="3" t="s">
        <v>193</v>
      </c>
      <c r="AW18" s="3">
        <v>1.98</v>
      </c>
      <c r="AX18" s="3">
        <v>16</v>
      </c>
      <c r="BA18" s="3">
        <v>43</v>
      </c>
      <c r="BB18" s="3" t="s">
        <v>138</v>
      </c>
    </row>
    <row r="19" spans="1:54" x14ac:dyDescent="0.3">
      <c r="B19" s="3" t="s">
        <v>20</v>
      </c>
      <c r="C19" s="3">
        <v>1</v>
      </c>
      <c r="I19" s="3" t="s">
        <v>27</v>
      </c>
      <c r="J19" s="3" t="s">
        <v>35</v>
      </c>
      <c r="K19" s="3" t="s">
        <v>63</v>
      </c>
      <c r="L19" s="3">
        <v>97.02</v>
      </c>
      <c r="M19" s="3">
        <v>13</v>
      </c>
      <c r="R19" s="3" t="s">
        <v>10</v>
      </c>
      <c r="S19" s="3">
        <v>6</v>
      </c>
      <c r="T19" s="3" t="s">
        <v>133</v>
      </c>
      <c r="U19" s="3">
        <v>128.69999999999999</v>
      </c>
      <c r="V19" s="3">
        <v>2</v>
      </c>
      <c r="Z19" s="7">
        <v>2018</v>
      </c>
      <c r="AA19" s="7">
        <v>5</v>
      </c>
      <c r="AB19" s="7">
        <v>10</v>
      </c>
      <c r="AC19" s="7">
        <v>75.239999999999995</v>
      </c>
      <c r="AD19" s="7">
        <v>76</v>
      </c>
      <c r="AL19" s="3" t="s">
        <v>194</v>
      </c>
      <c r="AM19" s="3">
        <v>0.1</v>
      </c>
      <c r="AQ19" s="3">
        <v>17</v>
      </c>
      <c r="AR19" s="3" t="s">
        <v>160</v>
      </c>
      <c r="AV19" s="3" t="s">
        <v>194</v>
      </c>
      <c r="AW19" s="3">
        <v>0.99</v>
      </c>
      <c r="AX19" s="3">
        <v>17</v>
      </c>
      <c r="BA19" s="3">
        <v>48</v>
      </c>
      <c r="BB19" s="3" t="s">
        <v>150</v>
      </c>
    </row>
    <row r="20" spans="1:54" x14ac:dyDescent="0.3">
      <c r="B20" s="3" t="s">
        <v>21</v>
      </c>
      <c r="C20" s="3">
        <v>1</v>
      </c>
      <c r="I20" s="3" t="s">
        <v>10</v>
      </c>
      <c r="J20" s="3" t="s">
        <v>35</v>
      </c>
      <c r="K20" s="3" t="s">
        <v>64</v>
      </c>
      <c r="L20" s="3">
        <v>273.24</v>
      </c>
      <c r="M20" s="3">
        <v>30</v>
      </c>
      <c r="R20" s="3" t="s">
        <v>16</v>
      </c>
      <c r="S20" s="3">
        <v>9</v>
      </c>
      <c r="T20" s="3" t="s">
        <v>134</v>
      </c>
      <c r="U20" s="3">
        <v>37.619999999999997</v>
      </c>
      <c r="V20" s="3">
        <v>1</v>
      </c>
      <c r="Z20" s="7">
        <v>2018</v>
      </c>
      <c r="AA20" s="7">
        <v>6</v>
      </c>
      <c r="AB20" s="7">
        <v>13</v>
      </c>
      <c r="AC20" s="7">
        <v>92.07</v>
      </c>
      <c r="AD20" s="7">
        <v>93</v>
      </c>
      <c r="AQ20" s="3">
        <v>18</v>
      </c>
      <c r="AR20" s="3" t="s">
        <v>198</v>
      </c>
      <c r="BA20" s="3">
        <v>50</v>
      </c>
      <c r="BB20" s="3" t="s">
        <v>155</v>
      </c>
    </row>
    <row r="21" spans="1:54" x14ac:dyDescent="0.3">
      <c r="B21" s="3" t="s">
        <v>22</v>
      </c>
      <c r="C21" s="3">
        <v>1</v>
      </c>
      <c r="I21" s="3" t="s">
        <v>16</v>
      </c>
      <c r="J21" s="3" t="s">
        <v>35</v>
      </c>
      <c r="K21" s="3" t="s">
        <v>65</v>
      </c>
      <c r="L21" s="3">
        <v>37.619999999999997</v>
      </c>
      <c r="M21" s="3">
        <v>10</v>
      </c>
      <c r="R21" s="3" t="s">
        <v>17</v>
      </c>
      <c r="S21" s="3">
        <v>44</v>
      </c>
      <c r="T21" s="3" t="s">
        <v>135</v>
      </c>
      <c r="U21" s="3">
        <v>79.2</v>
      </c>
      <c r="V21" s="3">
        <v>1</v>
      </c>
      <c r="Z21" s="7">
        <v>2018</v>
      </c>
      <c r="AA21" s="7">
        <v>7</v>
      </c>
      <c r="AB21" s="7">
        <v>11</v>
      </c>
      <c r="AC21" s="7">
        <v>85.14</v>
      </c>
      <c r="AD21" s="7">
        <v>86</v>
      </c>
      <c r="AQ21" s="3">
        <v>19</v>
      </c>
      <c r="AR21" s="3" t="s">
        <v>199</v>
      </c>
      <c r="BA21" s="3">
        <v>54</v>
      </c>
      <c r="BB21" s="3" t="s">
        <v>158</v>
      </c>
    </row>
    <row r="22" spans="1:54" x14ac:dyDescent="0.3">
      <c r="B22" s="3" t="s">
        <v>23</v>
      </c>
      <c r="C22" s="3">
        <v>1</v>
      </c>
      <c r="I22" s="3" t="s">
        <v>17</v>
      </c>
      <c r="J22" s="3" t="s">
        <v>35</v>
      </c>
      <c r="K22" s="3" t="s">
        <v>66</v>
      </c>
      <c r="L22" s="3">
        <v>79.2</v>
      </c>
      <c r="M22" s="3">
        <v>11</v>
      </c>
      <c r="R22" s="3" t="s">
        <v>7</v>
      </c>
      <c r="S22" s="3">
        <v>42</v>
      </c>
      <c r="T22" s="3" t="s">
        <v>136</v>
      </c>
      <c r="U22" s="3">
        <v>99.99</v>
      </c>
      <c r="V22" s="3">
        <v>1</v>
      </c>
      <c r="Z22" s="7">
        <v>2018</v>
      </c>
      <c r="AA22" s="7">
        <v>8</v>
      </c>
      <c r="AB22" s="7">
        <v>16</v>
      </c>
      <c r="AC22" s="7">
        <v>104.94</v>
      </c>
      <c r="AD22" s="7">
        <v>106</v>
      </c>
      <c r="AQ22" s="3">
        <v>20</v>
      </c>
      <c r="AR22" s="3" t="s">
        <v>161</v>
      </c>
      <c r="BA22" s="3">
        <v>56</v>
      </c>
      <c r="BB22" s="3" t="s">
        <v>117</v>
      </c>
    </row>
    <row r="23" spans="1:54" x14ac:dyDescent="0.3">
      <c r="B23" s="3" t="s">
        <v>24</v>
      </c>
      <c r="C23" s="3">
        <v>1</v>
      </c>
      <c r="I23" s="3" t="s">
        <v>7</v>
      </c>
      <c r="J23" s="3" t="s">
        <v>35</v>
      </c>
      <c r="K23" s="3" t="s">
        <v>67</v>
      </c>
      <c r="L23" s="3">
        <v>64.349999999999994</v>
      </c>
      <c r="M23" s="3">
        <v>9</v>
      </c>
      <c r="R23" s="3" t="s">
        <v>7</v>
      </c>
      <c r="S23" s="3">
        <v>39</v>
      </c>
      <c r="T23" s="3" t="s">
        <v>137</v>
      </c>
      <c r="U23" s="3">
        <v>79.2</v>
      </c>
      <c r="V23" s="3">
        <v>2</v>
      </c>
      <c r="Z23" s="7">
        <v>2018</v>
      </c>
      <c r="AA23" s="7">
        <v>9</v>
      </c>
      <c r="AB23" s="7">
        <v>6</v>
      </c>
      <c r="AC23" s="7">
        <v>56.43</v>
      </c>
      <c r="AD23" s="7">
        <v>57</v>
      </c>
      <c r="AQ23" s="3">
        <v>21</v>
      </c>
      <c r="AR23" s="3" t="s">
        <v>163</v>
      </c>
      <c r="BA23" s="3">
        <v>57</v>
      </c>
      <c r="BB23" s="3" t="s">
        <v>131</v>
      </c>
    </row>
    <row r="24" spans="1:54" x14ac:dyDescent="0.3">
      <c r="B24" s="3" t="s">
        <v>25</v>
      </c>
      <c r="C24" s="3">
        <v>1</v>
      </c>
      <c r="I24" s="3" t="s">
        <v>7</v>
      </c>
      <c r="J24" s="3" t="s">
        <v>35</v>
      </c>
      <c r="K24" s="3" t="s">
        <v>68</v>
      </c>
      <c r="L24" s="3">
        <v>73.260000000000005</v>
      </c>
      <c r="M24" s="3">
        <v>12</v>
      </c>
      <c r="R24" s="3" t="s">
        <v>7</v>
      </c>
      <c r="S24" s="3">
        <v>43</v>
      </c>
      <c r="T24" s="3" t="s">
        <v>138</v>
      </c>
      <c r="U24" s="3">
        <v>73.260000000000005</v>
      </c>
      <c r="V24" s="3">
        <v>3</v>
      </c>
      <c r="Z24" s="7">
        <v>2018</v>
      </c>
      <c r="AA24" s="7">
        <v>10</v>
      </c>
      <c r="AB24" s="7">
        <v>8</v>
      </c>
      <c r="AC24" s="7">
        <v>78.209999999999994</v>
      </c>
      <c r="AD24" s="7">
        <v>79</v>
      </c>
      <c r="AQ24" s="3">
        <v>22</v>
      </c>
      <c r="AR24" s="3" t="s">
        <v>162</v>
      </c>
      <c r="BA24" s="3">
        <v>58</v>
      </c>
      <c r="BB24" s="3" t="s">
        <v>146</v>
      </c>
    </row>
    <row r="25" spans="1:54" x14ac:dyDescent="0.3">
      <c r="B25" s="3" t="s">
        <v>26</v>
      </c>
      <c r="C25" s="3">
        <v>1</v>
      </c>
      <c r="I25" s="3" t="s">
        <v>7</v>
      </c>
      <c r="J25" s="3" t="s">
        <v>35</v>
      </c>
      <c r="K25" s="3" t="s">
        <v>69</v>
      </c>
      <c r="L25" s="3">
        <v>99.99</v>
      </c>
      <c r="M25" s="3">
        <v>11</v>
      </c>
      <c r="R25" s="3" t="s">
        <v>7</v>
      </c>
      <c r="S25" s="3">
        <v>40</v>
      </c>
      <c r="T25" s="3" t="s">
        <v>139</v>
      </c>
      <c r="U25" s="3">
        <v>72.27</v>
      </c>
      <c r="V25" s="3">
        <v>4</v>
      </c>
      <c r="Z25" s="7">
        <v>2018</v>
      </c>
      <c r="AA25" s="7">
        <v>11</v>
      </c>
      <c r="AB25" s="7">
        <v>7</v>
      </c>
      <c r="AC25" s="7">
        <v>42.57</v>
      </c>
      <c r="AD25" s="7">
        <v>43</v>
      </c>
      <c r="AQ25" s="3">
        <v>23</v>
      </c>
      <c r="AR25" s="3" t="s">
        <v>200</v>
      </c>
    </row>
    <row r="26" spans="1:54" x14ac:dyDescent="0.3">
      <c r="B26" s="3" t="s">
        <v>27</v>
      </c>
      <c r="C26" s="3">
        <v>1</v>
      </c>
      <c r="I26" s="3" t="s">
        <v>7</v>
      </c>
      <c r="J26" s="3" t="s">
        <v>35</v>
      </c>
      <c r="K26" s="3" t="s">
        <v>70</v>
      </c>
      <c r="L26" s="3">
        <v>151.47</v>
      </c>
      <c r="M26" s="3">
        <v>18</v>
      </c>
      <c r="R26" s="3" t="s">
        <v>7</v>
      </c>
      <c r="S26" s="3">
        <v>41</v>
      </c>
      <c r="T26" s="3" t="s">
        <v>140</v>
      </c>
      <c r="U26" s="3">
        <v>64.349999999999994</v>
      </c>
      <c r="V26" s="3">
        <v>5</v>
      </c>
      <c r="Z26" s="7">
        <v>2018</v>
      </c>
      <c r="AA26" s="7">
        <v>12</v>
      </c>
      <c r="AB26" s="7">
        <v>12</v>
      </c>
      <c r="AC26" s="7">
        <v>98.01</v>
      </c>
      <c r="AD26" s="7">
        <v>99</v>
      </c>
      <c r="AQ26" s="3">
        <v>24</v>
      </c>
      <c r="AR26" s="3" t="s">
        <v>201</v>
      </c>
    </row>
    <row r="27" spans="1:54" x14ac:dyDescent="0.3">
      <c r="I27" s="3" t="s">
        <v>8</v>
      </c>
      <c r="J27" s="3" t="s">
        <v>35</v>
      </c>
      <c r="K27" s="3" t="s">
        <v>71</v>
      </c>
      <c r="L27" s="3">
        <v>82.17</v>
      </c>
      <c r="M27" s="3">
        <v>11</v>
      </c>
      <c r="R27" s="3" t="s">
        <v>8</v>
      </c>
      <c r="S27" s="3">
        <v>37</v>
      </c>
      <c r="T27" s="3" t="s">
        <v>141</v>
      </c>
      <c r="U27" s="3">
        <v>94.05</v>
      </c>
      <c r="V27" s="3">
        <v>1</v>
      </c>
      <c r="Z27" s="7">
        <v>2019</v>
      </c>
      <c r="AA27" s="7">
        <v>1</v>
      </c>
      <c r="AB27" s="7">
        <v>10</v>
      </c>
      <c r="AC27" s="7">
        <v>85.14</v>
      </c>
      <c r="AD27" s="7">
        <v>86</v>
      </c>
      <c r="AQ27" s="3">
        <v>25</v>
      </c>
      <c r="AR27" s="3" t="s">
        <v>202</v>
      </c>
    </row>
    <row r="28" spans="1:54" x14ac:dyDescent="0.3">
      <c r="I28" s="3" t="s">
        <v>8</v>
      </c>
      <c r="J28" s="3" t="s">
        <v>35</v>
      </c>
      <c r="K28" s="3" t="s">
        <v>72</v>
      </c>
      <c r="L28" s="3">
        <v>94.05</v>
      </c>
      <c r="M28" s="3">
        <v>10</v>
      </c>
      <c r="R28" s="3" t="s">
        <v>8</v>
      </c>
      <c r="S28" s="3">
        <v>36</v>
      </c>
      <c r="T28" s="3" t="s">
        <v>142</v>
      </c>
      <c r="U28" s="3">
        <v>85.14</v>
      </c>
      <c r="V28" s="3">
        <v>2</v>
      </c>
      <c r="Z28" s="7">
        <v>2019</v>
      </c>
      <c r="AA28" s="7">
        <v>2</v>
      </c>
      <c r="AB28" s="7">
        <v>7</v>
      </c>
      <c r="AC28" s="7">
        <v>59.4</v>
      </c>
      <c r="AD28" s="7">
        <v>60</v>
      </c>
      <c r="AQ28" s="3">
        <v>26</v>
      </c>
      <c r="AR28" s="3" t="s">
        <v>164</v>
      </c>
    </row>
    <row r="29" spans="1:54" x14ac:dyDescent="0.3">
      <c r="A29" s="6" t="s">
        <v>28</v>
      </c>
      <c r="I29" s="3" t="s">
        <v>8</v>
      </c>
      <c r="J29" s="3" t="s">
        <v>35</v>
      </c>
      <c r="K29" s="3" t="s">
        <v>73</v>
      </c>
      <c r="L29" s="3">
        <v>158.4</v>
      </c>
      <c r="M29" s="3">
        <v>20</v>
      </c>
      <c r="R29" s="3" t="s">
        <v>8</v>
      </c>
      <c r="S29" s="3">
        <v>2</v>
      </c>
      <c r="T29" s="3" t="s">
        <v>143</v>
      </c>
      <c r="U29" s="3">
        <v>82.17</v>
      </c>
      <c r="V29" s="3">
        <v>3</v>
      </c>
      <c r="Z29" s="7">
        <v>2019</v>
      </c>
      <c r="AA29" s="7">
        <v>3</v>
      </c>
      <c r="AB29" s="7">
        <v>14</v>
      </c>
      <c r="AC29" s="7">
        <v>125.73</v>
      </c>
      <c r="AD29" s="7">
        <v>127</v>
      </c>
      <c r="AQ29" s="3">
        <v>27</v>
      </c>
      <c r="AR29" s="3" t="s">
        <v>203</v>
      </c>
    </row>
    <row r="30" spans="1:54" x14ac:dyDescent="0.3">
      <c r="B30" s="3" t="s">
        <v>30</v>
      </c>
      <c r="C30" s="3" t="s">
        <v>32</v>
      </c>
      <c r="D30" s="3" t="s">
        <v>33</v>
      </c>
      <c r="E30" s="3" t="s">
        <v>34</v>
      </c>
      <c r="I30" s="3" t="s">
        <v>18</v>
      </c>
      <c r="J30" s="3" t="s">
        <v>35</v>
      </c>
      <c r="K30" s="3" t="s">
        <v>74</v>
      </c>
      <c r="L30" s="3">
        <v>78.209999999999994</v>
      </c>
      <c r="M30" s="3">
        <v>10</v>
      </c>
      <c r="R30" s="3" t="s">
        <v>8</v>
      </c>
      <c r="S30" s="3">
        <v>38</v>
      </c>
      <c r="T30" s="3" t="s">
        <v>144</v>
      </c>
      <c r="U30" s="3">
        <v>73.260000000000005</v>
      </c>
      <c r="V30" s="3">
        <v>4</v>
      </c>
      <c r="Z30" s="7">
        <v>2019</v>
      </c>
      <c r="AA30" s="7">
        <v>4</v>
      </c>
      <c r="AB30" s="7">
        <v>17</v>
      </c>
      <c r="AC30" s="7">
        <v>115.83</v>
      </c>
      <c r="AD30" s="7">
        <v>117</v>
      </c>
      <c r="AQ30" s="3">
        <v>28</v>
      </c>
      <c r="AR30" s="3" t="s">
        <v>204</v>
      </c>
    </row>
    <row r="31" spans="1:54" x14ac:dyDescent="0.3">
      <c r="B31" s="3" t="s">
        <v>10</v>
      </c>
      <c r="C31" s="3" t="s">
        <v>64</v>
      </c>
      <c r="D31" s="3">
        <v>273.24</v>
      </c>
      <c r="E31" s="3">
        <v>30</v>
      </c>
      <c r="I31" s="3" t="s">
        <v>12</v>
      </c>
      <c r="J31" s="3" t="s">
        <v>35</v>
      </c>
      <c r="K31" s="3" t="s">
        <v>75</v>
      </c>
      <c r="L31" s="3">
        <v>71.28</v>
      </c>
      <c r="M31" s="3">
        <v>8</v>
      </c>
      <c r="R31" s="3" t="s">
        <v>18</v>
      </c>
      <c r="S31" s="3">
        <v>45</v>
      </c>
      <c r="T31" s="3" t="s">
        <v>145</v>
      </c>
      <c r="U31" s="3">
        <v>78.209999999999994</v>
      </c>
      <c r="V31" s="3">
        <v>1</v>
      </c>
      <c r="Z31" s="7">
        <v>2019</v>
      </c>
      <c r="AA31" s="7">
        <v>5</v>
      </c>
      <c r="AB31" s="7">
        <v>16</v>
      </c>
      <c r="AC31" s="7">
        <v>104.94</v>
      </c>
      <c r="AD31" s="7">
        <v>106</v>
      </c>
      <c r="AQ31" s="3">
        <v>29</v>
      </c>
      <c r="AR31" s="3" t="s">
        <v>205</v>
      </c>
    </row>
    <row r="32" spans="1:54" x14ac:dyDescent="0.3">
      <c r="B32" s="3" t="s">
        <v>4</v>
      </c>
      <c r="C32" s="3" t="s">
        <v>112</v>
      </c>
      <c r="D32" s="3">
        <v>169.29</v>
      </c>
      <c r="E32" s="3">
        <v>20</v>
      </c>
      <c r="I32" s="3" t="s">
        <v>12</v>
      </c>
      <c r="J32" s="3" t="s">
        <v>35</v>
      </c>
      <c r="K32" s="3" t="s">
        <v>76</v>
      </c>
      <c r="L32" s="3">
        <v>111.87</v>
      </c>
      <c r="M32" s="3">
        <v>13</v>
      </c>
      <c r="R32" s="3" t="s">
        <v>12</v>
      </c>
      <c r="S32" s="3">
        <v>58</v>
      </c>
      <c r="T32" s="3" t="s">
        <v>146</v>
      </c>
      <c r="U32" s="3">
        <v>111.87</v>
      </c>
      <c r="V32" s="3">
        <v>1</v>
      </c>
      <c r="Z32" s="7">
        <v>2019</v>
      </c>
      <c r="AA32" s="7">
        <v>6</v>
      </c>
      <c r="AB32" s="7">
        <v>13</v>
      </c>
      <c r="AC32" s="7">
        <v>92.07</v>
      </c>
      <c r="AD32" s="7">
        <v>93</v>
      </c>
      <c r="AQ32" s="3">
        <v>30</v>
      </c>
      <c r="AR32" s="3" t="s">
        <v>127</v>
      </c>
    </row>
    <row r="33" spans="2:44" x14ac:dyDescent="0.3">
      <c r="B33" s="3" t="s">
        <v>9</v>
      </c>
      <c r="C33" s="3" t="s">
        <v>89</v>
      </c>
      <c r="D33" s="3">
        <v>166.32</v>
      </c>
      <c r="E33" s="3">
        <v>19</v>
      </c>
      <c r="I33" s="3" t="s">
        <v>19</v>
      </c>
      <c r="J33" s="3" t="s">
        <v>77</v>
      </c>
      <c r="K33" s="3" t="s">
        <v>77</v>
      </c>
      <c r="L33" s="3">
        <v>114.84</v>
      </c>
      <c r="M33" s="3">
        <v>13</v>
      </c>
      <c r="R33" s="3" t="s">
        <v>12</v>
      </c>
      <c r="S33" s="3">
        <v>59</v>
      </c>
      <c r="T33" s="3" t="s">
        <v>147</v>
      </c>
      <c r="U33" s="3">
        <v>71.28</v>
      </c>
      <c r="V33" s="3">
        <v>2</v>
      </c>
      <c r="Z33" s="7">
        <v>2019</v>
      </c>
      <c r="AA33" s="7">
        <v>7</v>
      </c>
      <c r="AB33" s="7">
        <v>15</v>
      </c>
      <c r="AC33" s="7">
        <v>124.74</v>
      </c>
      <c r="AD33" s="7">
        <v>126</v>
      </c>
      <c r="AQ33" s="3">
        <v>31</v>
      </c>
      <c r="AR33" s="3" t="s">
        <v>206</v>
      </c>
    </row>
    <row r="34" spans="2:44" x14ac:dyDescent="0.3">
      <c r="B34" s="3" t="s">
        <v>8</v>
      </c>
      <c r="C34" s="3" t="s">
        <v>73</v>
      </c>
      <c r="D34" s="3">
        <v>158.4</v>
      </c>
      <c r="E34" s="3">
        <v>20</v>
      </c>
      <c r="I34" s="3" t="s">
        <v>20</v>
      </c>
      <c r="J34" s="3" t="s">
        <v>78</v>
      </c>
      <c r="K34" s="3" t="s">
        <v>79</v>
      </c>
      <c r="L34" s="3">
        <v>50.49</v>
      </c>
      <c r="M34" s="3">
        <v>9</v>
      </c>
      <c r="R34" s="3" t="s">
        <v>19</v>
      </c>
      <c r="S34" s="3">
        <v>46</v>
      </c>
      <c r="T34" s="3" t="s">
        <v>148</v>
      </c>
      <c r="U34" s="3">
        <v>114.84</v>
      </c>
      <c r="V34" s="3">
        <v>1</v>
      </c>
      <c r="Z34" s="7">
        <v>2019</v>
      </c>
      <c r="AA34" s="7">
        <v>8</v>
      </c>
      <c r="AB34" s="7">
        <v>19</v>
      </c>
      <c r="AC34" s="7">
        <v>158.4</v>
      </c>
      <c r="AD34" s="7">
        <v>160</v>
      </c>
      <c r="AQ34" s="3">
        <v>32</v>
      </c>
      <c r="AR34" s="3" t="s">
        <v>129</v>
      </c>
    </row>
    <row r="35" spans="2:44" x14ac:dyDescent="0.3">
      <c r="B35" s="3" t="s">
        <v>7</v>
      </c>
      <c r="C35" s="3" t="s">
        <v>70</v>
      </c>
      <c r="D35" s="3">
        <v>151.47</v>
      </c>
      <c r="E35" s="3">
        <v>18</v>
      </c>
      <c r="I35" s="3" t="s">
        <v>21</v>
      </c>
      <c r="J35" s="3" t="s">
        <v>80</v>
      </c>
      <c r="K35" s="3" t="s">
        <v>81</v>
      </c>
      <c r="L35" s="3">
        <v>65.34</v>
      </c>
      <c r="M35" s="3">
        <v>10</v>
      </c>
      <c r="R35" s="3" t="s">
        <v>20</v>
      </c>
      <c r="S35" s="3">
        <v>47</v>
      </c>
      <c r="T35" s="3" t="s">
        <v>149</v>
      </c>
      <c r="U35" s="3">
        <v>50.49</v>
      </c>
      <c r="V35" s="3">
        <v>1</v>
      </c>
      <c r="Z35" s="7">
        <v>2019</v>
      </c>
      <c r="AA35" s="7">
        <v>9</v>
      </c>
      <c r="AB35" s="7">
        <v>19</v>
      </c>
      <c r="AC35" s="7">
        <v>124.74</v>
      </c>
      <c r="AD35" s="7">
        <v>126</v>
      </c>
      <c r="AQ35" s="3">
        <v>33</v>
      </c>
      <c r="AR35" s="3" t="s">
        <v>128</v>
      </c>
    </row>
    <row r="36" spans="2:44" x14ac:dyDescent="0.3">
      <c r="B36" s="3" t="s">
        <v>6</v>
      </c>
      <c r="C36" s="3" t="s">
        <v>47</v>
      </c>
      <c r="D36" s="3">
        <v>129.69</v>
      </c>
      <c r="E36" s="3">
        <v>22</v>
      </c>
      <c r="I36" s="3" t="s">
        <v>13</v>
      </c>
      <c r="J36" s="3" t="s">
        <v>35</v>
      </c>
      <c r="K36" s="3" t="s">
        <v>82</v>
      </c>
      <c r="L36" s="3">
        <v>72.27</v>
      </c>
      <c r="M36" s="3">
        <v>9</v>
      </c>
      <c r="R36" s="3" t="s">
        <v>21</v>
      </c>
      <c r="S36" s="3">
        <v>48</v>
      </c>
      <c r="T36" s="3" t="s">
        <v>150</v>
      </c>
      <c r="U36" s="3">
        <v>65.34</v>
      </c>
      <c r="V36" s="3">
        <v>1</v>
      </c>
      <c r="Z36" s="7">
        <v>2019</v>
      </c>
      <c r="AA36" s="7">
        <v>10</v>
      </c>
      <c r="AB36" s="7">
        <v>6</v>
      </c>
      <c r="AC36" s="7">
        <v>43.56</v>
      </c>
      <c r="AD36" s="7">
        <v>44</v>
      </c>
      <c r="AQ36" s="3">
        <v>34</v>
      </c>
      <c r="AR36" s="3" t="s">
        <v>153</v>
      </c>
    </row>
    <row r="37" spans="2:44" x14ac:dyDescent="0.3">
      <c r="B37" s="3" t="s">
        <v>19</v>
      </c>
      <c r="C37" s="3" t="s">
        <v>77</v>
      </c>
      <c r="D37" s="3">
        <v>114.84</v>
      </c>
      <c r="E37" s="3">
        <v>13</v>
      </c>
      <c r="I37" s="3" t="s">
        <v>22</v>
      </c>
      <c r="J37" s="3" t="s">
        <v>35</v>
      </c>
      <c r="K37" s="3" t="s">
        <v>83</v>
      </c>
      <c r="L37" s="3">
        <v>76.23</v>
      </c>
      <c r="M37" s="3">
        <v>10</v>
      </c>
      <c r="R37" s="3" t="s">
        <v>13</v>
      </c>
      <c r="S37" s="3">
        <v>4</v>
      </c>
      <c r="T37" s="3" t="s">
        <v>151</v>
      </c>
      <c r="U37" s="3">
        <v>72.27</v>
      </c>
      <c r="V37" s="3">
        <v>1</v>
      </c>
      <c r="Z37" s="7">
        <v>2019</v>
      </c>
      <c r="AA37" s="7">
        <v>11</v>
      </c>
      <c r="AB37" s="7">
        <v>8</v>
      </c>
      <c r="AC37" s="7">
        <v>71.28</v>
      </c>
      <c r="AD37" s="7">
        <v>72</v>
      </c>
      <c r="AQ37" s="3">
        <v>35</v>
      </c>
      <c r="AR37" s="3" t="s">
        <v>154</v>
      </c>
    </row>
    <row r="38" spans="2:44" x14ac:dyDescent="0.3">
      <c r="B38" s="3" t="s">
        <v>12</v>
      </c>
      <c r="C38" s="3" t="s">
        <v>76</v>
      </c>
      <c r="D38" s="3">
        <v>111.87</v>
      </c>
      <c r="E38" s="3">
        <v>13</v>
      </c>
      <c r="I38" s="3" t="s">
        <v>11</v>
      </c>
      <c r="J38" s="3" t="s">
        <v>35</v>
      </c>
      <c r="K38" s="3" t="s">
        <v>84</v>
      </c>
      <c r="L38" s="3">
        <v>82.17</v>
      </c>
      <c r="M38" s="3">
        <v>16</v>
      </c>
      <c r="R38" s="3" t="s">
        <v>22</v>
      </c>
      <c r="S38" s="3">
        <v>49</v>
      </c>
      <c r="T38" s="3" t="s">
        <v>152</v>
      </c>
      <c r="U38" s="3">
        <v>76.23</v>
      </c>
      <c r="V38" s="3">
        <v>1</v>
      </c>
      <c r="Z38" s="7">
        <v>2019</v>
      </c>
      <c r="AA38" s="7">
        <v>12</v>
      </c>
      <c r="AB38" s="7">
        <v>15</v>
      </c>
      <c r="AC38" s="7">
        <v>110.88</v>
      </c>
      <c r="AD38" s="7">
        <v>112</v>
      </c>
      <c r="AQ38" s="3">
        <v>36</v>
      </c>
      <c r="AR38" s="3" t="s">
        <v>142</v>
      </c>
    </row>
    <row r="39" spans="2:44" x14ac:dyDescent="0.3">
      <c r="B39" s="3" t="s">
        <v>6</v>
      </c>
      <c r="C39" s="3" t="s">
        <v>46</v>
      </c>
      <c r="D39" s="3">
        <v>108.9</v>
      </c>
      <c r="E39" s="3">
        <v>13</v>
      </c>
      <c r="I39" s="3" t="s">
        <v>11</v>
      </c>
      <c r="J39" s="3" t="s">
        <v>35</v>
      </c>
      <c r="K39" s="3" t="s">
        <v>85</v>
      </c>
      <c r="L39" s="3">
        <v>102.96</v>
      </c>
      <c r="M39" s="3">
        <v>13</v>
      </c>
      <c r="R39" s="3" t="s">
        <v>11</v>
      </c>
      <c r="S39" s="3">
        <v>34</v>
      </c>
      <c r="T39" s="3" t="s">
        <v>153</v>
      </c>
      <c r="U39" s="3">
        <v>102.96</v>
      </c>
      <c r="V39" s="3">
        <v>1</v>
      </c>
      <c r="Z39" s="7">
        <v>2020</v>
      </c>
      <c r="AA39" s="7">
        <v>1</v>
      </c>
      <c r="AB39" s="7">
        <v>8</v>
      </c>
      <c r="AC39" s="7">
        <v>43.56</v>
      </c>
      <c r="AD39" s="7">
        <v>44</v>
      </c>
      <c r="AQ39" s="3">
        <v>37</v>
      </c>
      <c r="AR39" s="3" t="s">
        <v>141</v>
      </c>
    </row>
    <row r="40" spans="2:44" x14ac:dyDescent="0.3">
      <c r="B40" s="3" t="s">
        <v>6</v>
      </c>
      <c r="C40" s="3" t="s">
        <v>44</v>
      </c>
      <c r="D40" s="3">
        <v>106.92</v>
      </c>
      <c r="E40" s="3">
        <v>15</v>
      </c>
      <c r="I40" s="3" t="s">
        <v>23</v>
      </c>
      <c r="J40" s="3" t="s">
        <v>35</v>
      </c>
      <c r="K40" s="3" t="s">
        <v>86</v>
      </c>
      <c r="L40" s="3">
        <v>98.01</v>
      </c>
      <c r="M40" s="3">
        <v>11</v>
      </c>
      <c r="R40" s="3" t="s">
        <v>11</v>
      </c>
      <c r="S40" s="3">
        <v>35</v>
      </c>
      <c r="T40" s="3" t="s">
        <v>154</v>
      </c>
      <c r="U40" s="3">
        <v>82.17</v>
      </c>
      <c r="V40" s="3">
        <v>2</v>
      </c>
      <c r="Z40" s="7">
        <v>2020</v>
      </c>
      <c r="AA40" s="7">
        <v>2</v>
      </c>
      <c r="AB40" s="7">
        <v>11</v>
      </c>
      <c r="AC40" s="7">
        <v>97.02</v>
      </c>
      <c r="AD40" s="7">
        <v>98</v>
      </c>
      <c r="AQ40" s="3">
        <v>38</v>
      </c>
      <c r="AR40" s="3" t="s">
        <v>144</v>
      </c>
    </row>
    <row r="41" spans="2:44" x14ac:dyDescent="0.3">
      <c r="I41" s="3" t="s">
        <v>24</v>
      </c>
      <c r="J41" s="3" t="s">
        <v>35</v>
      </c>
      <c r="K41" s="3" t="s">
        <v>87</v>
      </c>
      <c r="L41" s="3">
        <v>75.239999999999995</v>
      </c>
      <c r="M41" s="3">
        <v>10</v>
      </c>
      <c r="R41" s="3" t="s">
        <v>23</v>
      </c>
      <c r="S41" s="3">
        <v>50</v>
      </c>
      <c r="T41" s="3" t="s">
        <v>155</v>
      </c>
      <c r="U41" s="3">
        <v>98.01</v>
      </c>
      <c r="V41" s="3">
        <v>1</v>
      </c>
      <c r="Z41" s="7">
        <v>2020</v>
      </c>
      <c r="AA41" s="7">
        <v>3</v>
      </c>
      <c r="AB41" s="7">
        <v>11</v>
      </c>
      <c r="AC41" s="7">
        <v>78.209999999999994</v>
      </c>
      <c r="AD41" s="7">
        <v>79</v>
      </c>
      <c r="AQ41" s="3">
        <v>39</v>
      </c>
      <c r="AR41" s="3" t="s">
        <v>137</v>
      </c>
    </row>
    <row r="42" spans="2:44" x14ac:dyDescent="0.3">
      <c r="I42" s="3" t="s">
        <v>9</v>
      </c>
      <c r="J42" s="3" t="s">
        <v>35</v>
      </c>
      <c r="K42" s="3" t="s">
        <v>88</v>
      </c>
      <c r="L42" s="3">
        <v>79.2</v>
      </c>
      <c r="M42" s="3">
        <v>9</v>
      </c>
      <c r="R42" s="3" t="s">
        <v>24</v>
      </c>
      <c r="S42" s="3">
        <v>51</v>
      </c>
      <c r="T42" s="3" t="s">
        <v>156</v>
      </c>
      <c r="U42" s="3">
        <v>75.239999999999995</v>
      </c>
      <c r="V42" s="3">
        <v>1</v>
      </c>
      <c r="Z42" s="7">
        <v>2020</v>
      </c>
      <c r="AA42" s="7">
        <v>4</v>
      </c>
      <c r="AB42" s="7">
        <v>16</v>
      </c>
      <c r="AC42" s="7">
        <v>119.79</v>
      </c>
      <c r="AD42" s="7">
        <v>121</v>
      </c>
      <c r="AQ42" s="3">
        <v>40</v>
      </c>
      <c r="AR42" s="3" t="s">
        <v>139</v>
      </c>
    </row>
    <row r="43" spans="2:44" x14ac:dyDescent="0.3">
      <c r="I43" s="3" t="s">
        <v>9</v>
      </c>
      <c r="J43" s="3" t="s">
        <v>35</v>
      </c>
      <c r="K43" s="3" t="s">
        <v>89</v>
      </c>
      <c r="L43" s="3">
        <v>166.32</v>
      </c>
      <c r="M43" s="3">
        <v>19</v>
      </c>
      <c r="R43" s="3" t="s">
        <v>9</v>
      </c>
      <c r="S43" s="3">
        <v>53</v>
      </c>
      <c r="T43" s="3" t="s">
        <v>157</v>
      </c>
      <c r="U43" s="3">
        <v>98.01</v>
      </c>
      <c r="V43" s="3">
        <v>1</v>
      </c>
      <c r="Z43" s="7">
        <v>2020</v>
      </c>
      <c r="AA43" s="7">
        <v>5</v>
      </c>
      <c r="AB43" s="7">
        <v>13</v>
      </c>
      <c r="AC43" s="7">
        <v>81.180000000000007</v>
      </c>
      <c r="AD43" s="7">
        <v>82</v>
      </c>
      <c r="AQ43" s="3">
        <v>41</v>
      </c>
      <c r="AR43" s="3" t="s">
        <v>140</v>
      </c>
    </row>
    <row r="44" spans="2:44" x14ac:dyDescent="0.3">
      <c r="I44" s="3" t="s">
        <v>4</v>
      </c>
      <c r="J44" s="3" t="s">
        <v>90</v>
      </c>
      <c r="K44" s="3" t="s">
        <v>91</v>
      </c>
      <c r="L44" s="3">
        <v>54.45</v>
      </c>
      <c r="M44" s="3">
        <v>9</v>
      </c>
      <c r="R44" s="3" t="s">
        <v>9</v>
      </c>
      <c r="S44" s="3">
        <v>54</v>
      </c>
      <c r="T44" s="3" t="s">
        <v>158</v>
      </c>
      <c r="U44" s="3">
        <v>79.2</v>
      </c>
      <c r="V44" s="3">
        <v>2</v>
      </c>
      <c r="Z44" s="7">
        <v>2020</v>
      </c>
      <c r="AA44" s="7">
        <v>6</v>
      </c>
      <c r="AB44" s="7">
        <v>11</v>
      </c>
      <c r="AC44" s="7">
        <v>120.78</v>
      </c>
      <c r="AD44" s="7">
        <v>122</v>
      </c>
      <c r="AQ44" s="3">
        <v>42</v>
      </c>
      <c r="AR44" s="3" t="s">
        <v>136</v>
      </c>
    </row>
    <row r="45" spans="2:44" x14ac:dyDescent="0.3">
      <c r="I45" s="3" t="s">
        <v>4</v>
      </c>
      <c r="J45" s="3" t="s">
        <v>92</v>
      </c>
      <c r="K45" s="3" t="s">
        <v>93</v>
      </c>
      <c r="L45" s="3">
        <v>66.33</v>
      </c>
      <c r="M45" s="3">
        <v>10</v>
      </c>
      <c r="R45" s="3" t="s">
        <v>9</v>
      </c>
      <c r="S45" s="3">
        <v>52</v>
      </c>
      <c r="T45" s="3" t="s">
        <v>159</v>
      </c>
      <c r="U45" s="3">
        <v>68.31</v>
      </c>
      <c r="V45" s="3">
        <v>3</v>
      </c>
      <c r="Z45" s="7">
        <v>2020</v>
      </c>
      <c r="AA45" s="7">
        <v>7</v>
      </c>
      <c r="AB45" s="7">
        <v>12</v>
      </c>
      <c r="AC45" s="7">
        <v>76.23</v>
      </c>
      <c r="AD45" s="7">
        <v>77</v>
      </c>
      <c r="AQ45" s="3">
        <v>43</v>
      </c>
      <c r="AR45" s="3" t="s">
        <v>138</v>
      </c>
    </row>
    <row r="46" spans="2:44" x14ac:dyDescent="0.3">
      <c r="I46" s="3" t="s">
        <v>4</v>
      </c>
      <c r="J46" s="3" t="s">
        <v>94</v>
      </c>
      <c r="K46" s="3" t="s">
        <v>95</v>
      </c>
      <c r="L46" s="3">
        <v>71.28</v>
      </c>
      <c r="M46" s="3">
        <v>8</v>
      </c>
      <c r="R46" s="3" t="s">
        <v>4</v>
      </c>
      <c r="S46" s="3">
        <v>17</v>
      </c>
      <c r="T46" s="3" t="s">
        <v>160</v>
      </c>
      <c r="U46" s="3">
        <v>98.01</v>
      </c>
      <c r="V46" s="3">
        <v>1</v>
      </c>
      <c r="Z46" s="7">
        <v>2020</v>
      </c>
      <c r="AA46" s="7">
        <v>8</v>
      </c>
      <c r="AB46" s="7">
        <v>8</v>
      </c>
      <c r="AC46" s="7">
        <v>72.27</v>
      </c>
      <c r="AD46" s="7">
        <v>73</v>
      </c>
      <c r="AQ46" s="3">
        <v>44</v>
      </c>
      <c r="AR46" s="3" t="s">
        <v>135</v>
      </c>
    </row>
    <row r="47" spans="2:44" x14ac:dyDescent="0.3">
      <c r="I47" s="3" t="s">
        <v>4</v>
      </c>
      <c r="J47" s="3" t="s">
        <v>96</v>
      </c>
      <c r="K47" s="3" t="s">
        <v>97</v>
      </c>
      <c r="L47" s="3">
        <v>72.27</v>
      </c>
      <c r="M47" s="3">
        <v>10</v>
      </c>
      <c r="R47" s="3" t="s">
        <v>4</v>
      </c>
      <c r="S47" s="3">
        <v>20</v>
      </c>
      <c r="T47" s="3" t="s">
        <v>161</v>
      </c>
      <c r="U47" s="3">
        <v>95.04</v>
      </c>
      <c r="V47" s="3">
        <v>2</v>
      </c>
      <c r="Z47" s="7">
        <v>2020</v>
      </c>
      <c r="AA47" s="7">
        <v>9</v>
      </c>
      <c r="AB47" s="7">
        <v>13</v>
      </c>
      <c r="AC47" s="7">
        <v>95.04</v>
      </c>
      <c r="AD47" s="7">
        <v>96</v>
      </c>
      <c r="AQ47" s="3">
        <v>45</v>
      </c>
      <c r="AR47" s="3" t="s">
        <v>145</v>
      </c>
    </row>
    <row r="48" spans="2:44" x14ac:dyDescent="0.3">
      <c r="I48" s="3" t="s">
        <v>4</v>
      </c>
      <c r="J48" s="3" t="s">
        <v>98</v>
      </c>
      <c r="K48" s="3" t="s">
        <v>99</v>
      </c>
      <c r="L48" s="3">
        <v>76.23</v>
      </c>
      <c r="M48" s="3">
        <v>10</v>
      </c>
      <c r="R48" s="3" t="s">
        <v>4</v>
      </c>
      <c r="S48" s="3">
        <v>22</v>
      </c>
      <c r="T48" s="3" t="s">
        <v>162</v>
      </c>
      <c r="U48" s="3">
        <v>92.07</v>
      </c>
      <c r="V48" s="3">
        <v>3</v>
      </c>
      <c r="Z48" s="7">
        <v>2020</v>
      </c>
      <c r="AA48" s="7">
        <v>10</v>
      </c>
      <c r="AB48" s="7">
        <v>18</v>
      </c>
      <c r="AC48" s="7">
        <v>144.54</v>
      </c>
      <c r="AD48" s="7">
        <v>146</v>
      </c>
      <c r="AQ48" s="3">
        <v>46</v>
      </c>
      <c r="AR48" s="3" t="s">
        <v>148</v>
      </c>
    </row>
    <row r="49" spans="9:44" x14ac:dyDescent="0.3">
      <c r="I49" s="3" t="s">
        <v>4</v>
      </c>
      <c r="J49" s="3" t="s">
        <v>100</v>
      </c>
      <c r="K49" s="3" t="s">
        <v>101</v>
      </c>
      <c r="L49" s="3">
        <v>79.2</v>
      </c>
      <c r="M49" s="3">
        <v>8</v>
      </c>
      <c r="R49" s="3" t="s">
        <v>4</v>
      </c>
      <c r="S49" s="3">
        <v>21</v>
      </c>
      <c r="T49" s="3" t="s">
        <v>163</v>
      </c>
      <c r="U49" s="3">
        <v>91.08</v>
      </c>
      <c r="V49" s="3">
        <v>4</v>
      </c>
      <c r="Z49" s="7">
        <v>2020</v>
      </c>
      <c r="AA49" s="7">
        <v>11</v>
      </c>
      <c r="AB49" s="7">
        <v>12</v>
      </c>
      <c r="AC49" s="7">
        <v>82.17</v>
      </c>
      <c r="AD49" s="7">
        <v>83</v>
      </c>
      <c r="AQ49" s="3">
        <v>47</v>
      </c>
      <c r="AR49" s="3" t="s">
        <v>149</v>
      </c>
    </row>
    <row r="50" spans="9:44" x14ac:dyDescent="0.3">
      <c r="I50" s="3" t="s">
        <v>4</v>
      </c>
      <c r="J50" s="3" t="s">
        <v>102</v>
      </c>
      <c r="K50" s="3" t="s">
        <v>103</v>
      </c>
      <c r="L50" s="3">
        <v>84.15</v>
      </c>
      <c r="M50" s="3">
        <v>9</v>
      </c>
      <c r="R50" s="3" t="s">
        <v>4</v>
      </c>
      <c r="S50" s="3">
        <v>26</v>
      </c>
      <c r="T50" s="3" t="s">
        <v>164</v>
      </c>
      <c r="U50" s="3">
        <v>86.13</v>
      </c>
      <c r="V50" s="3">
        <v>5</v>
      </c>
      <c r="Z50" s="7">
        <v>2020</v>
      </c>
      <c r="AA50" s="7">
        <v>12</v>
      </c>
      <c r="AB50" s="7">
        <v>17</v>
      </c>
      <c r="AC50" s="7">
        <v>125.73</v>
      </c>
      <c r="AD50" s="7">
        <v>127</v>
      </c>
      <c r="AQ50" s="3">
        <v>48</v>
      </c>
      <c r="AR50" s="3" t="s">
        <v>150</v>
      </c>
    </row>
    <row r="51" spans="9:44" x14ac:dyDescent="0.3">
      <c r="I51" s="3" t="s">
        <v>4</v>
      </c>
      <c r="J51" s="3" t="s">
        <v>104</v>
      </c>
      <c r="K51" s="3" t="s">
        <v>105</v>
      </c>
      <c r="L51" s="3">
        <v>86.13</v>
      </c>
      <c r="M51" s="3">
        <v>12</v>
      </c>
      <c r="AQ51" s="3">
        <v>49</v>
      </c>
      <c r="AR51" s="3" t="s">
        <v>152</v>
      </c>
    </row>
    <row r="52" spans="9:44" x14ac:dyDescent="0.3">
      <c r="I52" s="3" t="s">
        <v>4</v>
      </c>
      <c r="J52" s="3" t="s">
        <v>106</v>
      </c>
      <c r="K52" s="3" t="s">
        <v>107</v>
      </c>
      <c r="L52" s="3">
        <v>91.08</v>
      </c>
      <c r="M52" s="3">
        <v>11</v>
      </c>
      <c r="AQ52" s="3">
        <v>50</v>
      </c>
      <c r="AR52" s="3" t="s">
        <v>155</v>
      </c>
    </row>
    <row r="53" spans="9:44" x14ac:dyDescent="0.3">
      <c r="I53" s="3" t="s">
        <v>4</v>
      </c>
      <c r="J53" s="3" t="s">
        <v>108</v>
      </c>
      <c r="K53" s="3" t="s">
        <v>109</v>
      </c>
      <c r="L53" s="3">
        <v>92.07</v>
      </c>
      <c r="M53" s="3">
        <v>12</v>
      </c>
      <c r="AQ53" s="3">
        <v>51</v>
      </c>
      <c r="AR53" s="3" t="s">
        <v>156</v>
      </c>
    </row>
    <row r="54" spans="9:44" x14ac:dyDescent="0.3">
      <c r="I54" s="3" t="s">
        <v>4</v>
      </c>
      <c r="J54" s="3" t="s">
        <v>110</v>
      </c>
      <c r="K54" s="3" t="s">
        <v>111</v>
      </c>
      <c r="L54" s="3">
        <v>98.01</v>
      </c>
      <c r="M54" s="3">
        <v>12</v>
      </c>
      <c r="Y54" s="1" t="s">
        <v>269</v>
      </c>
      <c r="Z54" s="1" t="s">
        <v>268</v>
      </c>
      <c r="AQ54" s="3">
        <v>52</v>
      </c>
      <c r="AR54" s="3" t="s">
        <v>159</v>
      </c>
    </row>
    <row r="55" spans="9:44" x14ac:dyDescent="0.3">
      <c r="I55" s="3" t="s">
        <v>4</v>
      </c>
      <c r="J55" s="3" t="s">
        <v>90</v>
      </c>
      <c r="K55" s="3" t="s">
        <v>112</v>
      </c>
      <c r="L55" s="3">
        <v>169.29</v>
      </c>
      <c r="M55" s="3">
        <v>20</v>
      </c>
      <c r="Y55" s="1" t="s">
        <v>266</v>
      </c>
      <c r="Z55">
        <v>2017</v>
      </c>
      <c r="AA55">
        <v>2018</v>
      </c>
      <c r="AB55">
        <v>2019</v>
      </c>
      <c r="AC55">
        <v>2020</v>
      </c>
      <c r="AQ55" s="3">
        <v>53</v>
      </c>
      <c r="AR55" s="3" t="s">
        <v>157</v>
      </c>
    </row>
    <row r="56" spans="9:44" x14ac:dyDescent="0.3">
      <c r="Y56" s="2">
        <v>1</v>
      </c>
      <c r="Z56">
        <v>17</v>
      </c>
      <c r="AA56">
        <v>22</v>
      </c>
      <c r="AB56">
        <v>10</v>
      </c>
      <c r="AC56">
        <v>8</v>
      </c>
      <c r="AQ56" s="3">
        <v>54</v>
      </c>
      <c r="AR56" s="3" t="s">
        <v>158</v>
      </c>
    </row>
    <row r="57" spans="9:44" x14ac:dyDescent="0.3">
      <c r="Y57" s="2">
        <v>2</v>
      </c>
      <c r="Z57">
        <v>19</v>
      </c>
      <c r="AA57">
        <v>18</v>
      </c>
      <c r="AB57">
        <v>7</v>
      </c>
      <c r="AC57">
        <v>11</v>
      </c>
      <c r="AQ57" s="3">
        <v>55</v>
      </c>
      <c r="AR57" s="3" t="s">
        <v>118</v>
      </c>
    </row>
    <row r="58" spans="9:44" x14ac:dyDescent="0.3">
      <c r="I58" s="1" t="s">
        <v>266</v>
      </c>
      <c r="J58" t="s">
        <v>264</v>
      </c>
      <c r="K58" t="s">
        <v>265</v>
      </c>
      <c r="Y58" s="2">
        <v>3</v>
      </c>
      <c r="Z58">
        <v>13</v>
      </c>
      <c r="AA58">
        <v>18</v>
      </c>
      <c r="AB58">
        <v>14</v>
      </c>
      <c r="AC58">
        <v>11</v>
      </c>
      <c r="AQ58" s="3">
        <v>56</v>
      </c>
      <c r="AR58" s="3" t="s">
        <v>117</v>
      </c>
    </row>
    <row r="59" spans="9:44" x14ac:dyDescent="0.3">
      <c r="I59" s="2" t="s">
        <v>6</v>
      </c>
      <c r="J59">
        <v>427.68</v>
      </c>
      <c r="K59">
        <v>61</v>
      </c>
      <c r="Y59" s="2">
        <v>4</v>
      </c>
      <c r="Z59">
        <v>17</v>
      </c>
      <c r="AA59">
        <v>10</v>
      </c>
      <c r="AB59">
        <v>17</v>
      </c>
      <c r="AC59">
        <v>16</v>
      </c>
      <c r="AQ59" s="3">
        <v>57</v>
      </c>
      <c r="AR59" s="3" t="s">
        <v>131</v>
      </c>
    </row>
    <row r="60" spans="9:44" x14ac:dyDescent="0.3">
      <c r="I60" s="2" t="s">
        <v>5</v>
      </c>
      <c r="J60">
        <v>535.59</v>
      </c>
      <c r="K60">
        <v>76</v>
      </c>
      <c r="Y60" s="2">
        <v>5</v>
      </c>
      <c r="Z60">
        <v>12</v>
      </c>
      <c r="AA60">
        <v>10</v>
      </c>
      <c r="AB60">
        <v>16</v>
      </c>
      <c r="AC60">
        <v>13</v>
      </c>
      <c r="AQ60" s="3">
        <v>58</v>
      </c>
      <c r="AR60" s="3" t="s">
        <v>146</v>
      </c>
    </row>
    <row r="61" spans="9:44" x14ac:dyDescent="0.3">
      <c r="I61" s="2" t="s">
        <v>10</v>
      </c>
      <c r="J61">
        <v>273.24</v>
      </c>
      <c r="K61">
        <v>30</v>
      </c>
      <c r="Y61" s="2">
        <v>6</v>
      </c>
      <c r="Z61">
        <v>12</v>
      </c>
      <c r="AA61">
        <v>13</v>
      </c>
      <c r="AB61">
        <v>13</v>
      </c>
      <c r="AC61">
        <v>11</v>
      </c>
      <c r="AQ61" s="3">
        <v>59</v>
      </c>
      <c r="AR61" s="3" t="s">
        <v>147</v>
      </c>
    </row>
    <row r="62" spans="9:44" x14ac:dyDescent="0.3">
      <c r="I62" s="2" t="s">
        <v>7</v>
      </c>
      <c r="J62">
        <v>389.07000000000005</v>
      </c>
      <c r="K62">
        <v>50</v>
      </c>
      <c r="Y62" s="2">
        <v>7</v>
      </c>
      <c r="Z62">
        <v>11</v>
      </c>
      <c r="AA62">
        <v>11</v>
      </c>
      <c r="AB62">
        <v>15</v>
      </c>
      <c r="AC62">
        <v>12</v>
      </c>
    </row>
    <row r="63" spans="9:44" x14ac:dyDescent="0.3">
      <c r="I63" s="2" t="s">
        <v>8</v>
      </c>
      <c r="J63">
        <v>334.62</v>
      </c>
      <c r="K63">
        <v>41</v>
      </c>
      <c r="Y63" s="2">
        <v>8</v>
      </c>
      <c r="Z63">
        <v>11</v>
      </c>
      <c r="AA63">
        <v>16</v>
      </c>
      <c r="AB63">
        <v>19</v>
      </c>
      <c r="AC63">
        <v>8</v>
      </c>
    </row>
    <row r="64" spans="9:44" x14ac:dyDescent="0.3">
      <c r="I64" s="2" t="s">
        <v>12</v>
      </c>
      <c r="J64">
        <v>183.15</v>
      </c>
      <c r="K64">
        <v>21</v>
      </c>
      <c r="Y64" s="2">
        <v>9</v>
      </c>
      <c r="Z64">
        <v>13</v>
      </c>
      <c r="AA64">
        <v>6</v>
      </c>
      <c r="AB64">
        <v>19</v>
      </c>
      <c r="AC64">
        <v>13</v>
      </c>
    </row>
    <row r="65" spans="9:29" x14ac:dyDescent="0.3">
      <c r="I65" s="2" t="s">
        <v>19</v>
      </c>
      <c r="J65">
        <v>114.84</v>
      </c>
      <c r="K65">
        <v>13</v>
      </c>
      <c r="Y65" s="2">
        <v>10</v>
      </c>
      <c r="Z65">
        <v>13</v>
      </c>
      <c r="AA65">
        <v>8</v>
      </c>
      <c r="AB65">
        <v>6</v>
      </c>
      <c r="AC65">
        <v>18</v>
      </c>
    </row>
    <row r="66" spans="9:29" x14ac:dyDescent="0.3">
      <c r="I66" s="2" t="s">
        <v>11</v>
      </c>
      <c r="J66">
        <v>185.13</v>
      </c>
      <c r="K66">
        <v>29</v>
      </c>
      <c r="Y66" s="2">
        <v>11</v>
      </c>
      <c r="Z66">
        <v>11</v>
      </c>
      <c r="AA66">
        <v>7</v>
      </c>
      <c r="AB66">
        <v>8</v>
      </c>
      <c r="AC66">
        <v>12</v>
      </c>
    </row>
    <row r="67" spans="9:29" x14ac:dyDescent="0.3">
      <c r="I67" s="2" t="s">
        <v>9</v>
      </c>
      <c r="J67">
        <v>245.51999999999998</v>
      </c>
      <c r="K67">
        <v>28</v>
      </c>
      <c r="Y67" s="2">
        <v>12</v>
      </c>
      <c r="Z67">
        <v>5</v>
      </c>
      <c r="AA67">
        <v>12</v>
      </c>
      <c r="AB67">
        <v>15</v>
      </c>
      <c r="AC67">
        <v>17</v>
      </c>
    </row>
    <row r="68" spans="9:29" x14ac:dyDescent="0.3">
      <c r="I68" s="2" t="s">
        <v>4</v>
      </c>
      <c r="J68">
        <v>1040.49</v>
      </c>
      <c r="K68">
        <v>131</v>
      </c>
    </row>
    <row r="69" spans="9:29" x14ac:dyDescent="0.3">
      <c r="I69" s="2" t="s">
        <v>267</v>
      </c>
      <c r="J69">
        <v>3729.33</v>
      </c>
      <c r="K69">
        <v>480</v>
      </c>
    </row>
    <row r="70" spans="9:29" x14ac:dyDescent="0.3">
      <c r="Y70" s="1" t="s">
        <v>270</v>
      </c>
      <c r="Z70" s="1" t="s">
        <v>268</v>
      </c>
    </row>
    <row r="71" spans="9:29" x14ac:dyDescent="0.3">
      <c r="Y71" s="1" t="s">
        <v>266</v>
      </c>
      <c r="Z71">
        <v>2017</v>
      </c>
      <c r="AA71">
        <v>2018</v>
      </c>
      <c r="AB71">
        <v>2019</v>
      </c>
      <c r="AC71">
        <v>2020</v>
      </c>
    </row>
    <row r="72" spans="9:29" x14ac:dyDescent="0.3">
      <c r="Y72" s="2">
        <v>1</v>
      </c>
      <c r="Z72">
        <v>126.72</v>
      </c>
      <c r="AA72">
        <v>183.15</v>
      </c>
      <c r="AB72">
        <v>85.14</v>
      </c>
      <c r="AC72">
        <v>43.56</v>
      </c>
    </row>
    <row r="73" spans="9:29" x14ac:dyDescent="0.3">
      <c r="Y73" s="2">
        <v>2</v>
      </c>
      <c r="Z73">
        <v>140.58000000000001</v>
      </c>
      <c r="AA73">
        <v>116.82</v>
      </c>
      <c r="AB73">
        <v>59.4</v>
      </c>
      <c r="AC73">
        <v>97.02</v>
      </c>
    </row>
    <row r="74" spans="9:29" x14ac:dyDescent="0.3">
      <c r="Y74" s="2">
        <v>3</v>
      </c>
      <c r="Z74">
        <v>102.96</v>
      </c>
      <c r="AA74">
        <v>148.5</v>
      </c>
      <c r="AB74">
        <v>125.73</v>
      </c>
      <c r="AC74">
        <v>78.209999999999994</v>
      </c>
    </row>
    <row r="75" spans="9:29" x14ac:dyDescent="0.3">
      <c r="Y75" s="2">
        <v>4</v>
      </c>
      <c r="Z75">
        <v>142.56</v>
      </c>
      <c r="AA75">
        <v>63.36</v>
      </c>
      <c r="AB75">
        <v>115.83</v>
      </c>
      <c r="AC75">
        <v>119.79</v>
      </c>
    </row>
    <row r="76" spans="9:29" x14ac:dyDescent="0.3">
      <c r="Y76" s="2">
        <v>5</v>
      </c>
      <c r="Z76">
        <v>104.94</v>
      </c>
      <c r="AA76">
        <v>75.239999999999995</v>
      </c>
      <c r="AB76">
        <v>104.94</v>
      </c>
      <c r="AC76">
        <v>81.180000000000007</v>
      </c>
    </row>
    <row r="77" spans="9:29" x14ac:dyDescent="0.3">
      <c r="Y77" s="2">
        <v>6</v>
      </c>
      <c r="Z77">
        <v>75.239999999999995</v>
      </c>
      <c r="AA77">
        <v>92.07</v>
      </c>
      <c r="AB77">
        <v>92.07</v>
      </c>
      <c r="AC77">
        <v>120.78</v>
      </c>
    </row>
    <row r="78" spans="9:29" x14ac:dyDescent="0.3">
      <c r="Y78" s="2">
        <v>7</v>
      </c>
      <c r="Z78">
        <v>108.9</v>
      </c>
      <c r="AA78">
        <v>85.14</v>
      </c>
      <c r="AB78">
        <v>124.74</v>
      </c>
      <c r="AC78">
        <v>76.23</v>
      </c>
    </row>
    <row r="79" spans="9:29" x14ac:dyDescent="0.3">
      <c r="Y79" s="2">
        <v>8</v>
      </c>
      <c r="Z79">
        <v>88.11</v>
      </c>
      <c r="AA79">
        <v>104.94</v>
      </c>
      <c r="AB79">
        <v>158.4</v>
      </c>
      <c r="AC79">
        <v>72.27</v>
      </c>
    </row>
    <row r="80" spans="9:29" x14ac:dyDescent="0.3">
      <c r="Y80" s="2">
        <v>9</v>
      </c>
      <c r="Z80">
        <v>107.91</v>
      </c>
      <c r="AA80">
        <v>56.43</v>
      </c>
      <c r="AB80">
        <v>124.74</v>
      </c>
      <c r="AC80">
        <v>95.04</v>
      </c>
    </row>
    <row r="81" spans="25:29" x14ac:dyDescent="0.3">
      <c r="Y81" s="2">
        <v>10</v>
      </c>
      <c r="Z81">
        <v>79.2</v>
      </c>
      <c r="AA81">
        <v>78.209999999999994</v>
      </c>
      <c r="AB81">
        <v>43.56</v>
      </c>
      <c r="AC81">
        <v>144.54</v>
      </c>
    </row>
    <row r="82" spans="25:29" x14ac:dyDescent="0.3">
      <c r="Y82" s="2">
        <v>11</v>
      </c>
      <c r="Z82">
        <v>94.05</v>
      </c>
      <c r="AA82">
        <v>42.57</v>
      </c>
      <c r="AB82">
        <v>71.28</v>
      </c>
      <c r="AC82">
        <v>82.17</v>
      </c>
    </row>
    <row r="83" spans="25:29" x14ac:dyDescent="0.3">
      <c r="Y83" s="2">
        <v>12</v>
      </c>
      <c r="Z83">
        <v>28.71</v>
      </c>
      <c r="AA83">
        <v>98.01</v>
      </c>
      <c r="AB83">
        <v>110.88</v>
      </c>
      <c r="AC83">
        <v>125.73</v>
      </c>
    </row>
    <row r="85" spans="25:29" x14ac:dyDescent="0.3">
      <c r="Y85" s="1" t="s">
        <v>271</v>
      </c>
      <c r="Z85" s="1" t="s">
        <v>268</v>
      </c>
    </row>
    <row r="86" spans="25:29" x14ac:dyDescent="0.3">
      <c r="Y86" s="1" t="s">
        <v>266</v>
      </c>
      <c r="Z86">
        <v>2017</v>
      </c>
      <c r="AA86">
        <v>2018</v>
      </c>
      <c r="AB86">
        <v>2019</v>
      </c>
      <c r="AC86">
        <v>2020</v>
      </c>
    </row>
    <row r="87" spans="25:29" x14ac:dyDescent="0.3">
      <c r="Y87" s="2">
        <v>1</v>
      </c>
      <c r="Z87">
        <v>128</v>
      </c>
      <c r="AA87">
        <v>185</v>
      </c>
      <c r="AB87">
        <v>86</v>
      </c>
      <c r="AC87">
        <v>44</v>
      </c>
    </row>
    <row r="88" spans="25:29" x14ac:dyDescent="0.3">
      <c r="Y88" s="2">
        <v>2</v>
      </c>
      <c r="Z88">
        <v>142</v>
      </c>
      <c r="AA88">
        <v>118</v>
      </c>
      <c r="AB88">
        <v>60</v>
      </c>
      <c r="AC88">
        <v>98</v>
      </c>
    </row>
    <row r="89" spans="25:29" x14ac:dyDescent="0.3">
      <c r="Y89" s="2">
        <v>3</v>
      </c>
      <c r="Z89">
        <v>104</v>
      </c>
      <c r="AA89">
        <v>150</v>
      </c>
      <c r="AB89">
        <v>127</v>
      </c>
      <c r="AC89">
        <v>79</v>
      </c>
    </row>
    <row r="90" spans="25:29" x14ac:dyDescent="0.3">
      <c r="Y90" s="2">
        <v>4</v>
      </c>
      <c r="Z90">
        <v>144</v>
      </c>
      <c r="AA90">
        <v>64</v>
      </c>
      <c r="AB90">
        <v>117</v>
      </c>
      <c r="AC90">
        <v>121</v>
      </c>
    </row>
    <row r="91" spans="25:29" x14ac:dyDescent="0.3">
      <c r="Y91" s="2">
        <v>5</v>
      </c>
      <c r="Z91">
        <v>106</v>
      </c>
      <c r="AA91">
        <v>76</v>
      </c>
      <c r="AB91">
        <v>106</v>
      </c>
      <c r="AC91">
        <v>82</v>
      </c>
    </row>
    <row r="92" spans="25:29" x14ac:dyDescent="0.3">
      <c r="Y92" s="2">
        <v>6</v>
      </c>
      <c r="Z92">
        <v>76</v>
      </c>
      <c r="AA92">
        <v>93</v>
      </c>
      <c r="AB92">
        <v>93</v>
      </c>
      <c r="AC92">
        <v>122</v>
      </c>
    </row>
    <row r="93" spans="25:29" x14ac:dyDescent="0.3">
      <c r="Y93" s="2">
        <v>7</v>
      </c>
      <c r="Z93">
        <v>110</v>
      </c>
      <c r="AA93">
        <v>86</v>
      </c>
      <c r="AB93">
        <v>126</v>
      </c>
      <c r="AC93">
        <v>77</v>
      </c>
    </row>
    <row r="94" spans="25:29" x14ac:dyDescent="0.3">
      <c r="Y94" s="2">
        <v>8</v>
      </c>
      <c r="Z94">
        <v>89</v>
      </c>
      <c r="AA94">
        <v>106</v>
      </c>
      <c r="AB94">
        <v>160</v>
      </c>
      <c r="AC94">
        <v>73</v>
      </c>
    </row>
    <row r="95" spans="25:29" x14ac:dyDescent="0.3">
      <c r="Y95" s="2">
        <v>9</v>
      </c>
      <c r="Z95">
        <v>109</v>
      </c>
      <c r="AA95">
        <v>57</v>
      </c>
      <c r="AB95">
        <v>126</v>
      </c>
      <c r="AC95">
        <v>96</v>
      </c>
    </row>
    <row r="96" spans="25:29" x14ac:dyDescent="0.3">
      <c r="Y96" s="2">
        <v>10</v>
      </c>
      <c r="Z96">
        <v>80</v>
      </c>
      <c r="AA96">
        <v>79</v>
      </c>
      <c r="AB96">
        <v>44</v>
      </c>
      <c r="AC96">
        <v>146</v>
      </c>
    </row>
    <row r="97" spans="25:29" x14ac:dyDescent="0.3">
      <c r="Y97" s="2">
        <v>11</v>
      </c>
      <c r="Z97">
        <v>95</v>
      </c>
      <c r="AA97">
        <v>43</v>
      </c>
      <c r="AB97">
        <v>72</v>
      </c>
      <c r="AC97">
        <v>83</v>
      </c>
    </row>
    <row r="98" spans="25:29" x14ac:dyDescent="0.3">
      <c r="Y98" s="2">
        <v>12</v>
      </c>
      <c r="Z98">
        <v>29</v>
      </c>
      <c r="AA98">
        <v>99</v>
      </c>
      <c r="AB98">
        <v>112</v>
      </c>
      <c r="AC98">
        <v>127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4171-F647-4E62-AB3F-CAE068CEFE53}">
  <dimension ref="A3:AU121"/>
  <sheetViews>
    <sheetView tabSelected="1" topLeftCell="I1" zoomScaleNormal="100" workbookViewId="0">
      <selection activeCell="AP38" sqref="AP38"/>
    </sheetView>
  </sheetViews>
  <sheetFormatPr defaultRowHeight="14.4" x14ac:dyDescent="0.3"/>
  <cols>
    <col min="2" max="2" width="12.44140625" bestFit="1" customWidth="1"/>
    <col min="3" max="3" width="8" bestFit="1" customWidth="1"/>
    <col min="4" max="4" width="7.88671875" bestFit="1" customWidth="1"/>
    <col min="5" max="5" width="9.6640625" bestFit="1" customWidth="1"/>
    <col min="24" max="24" width="15.88671875" bestFit="1" customWidth="1"/>
    <col min="25" max="25" width="10" customWidth="1"/>
    <col min="26" max="26" width="10.109375" customWidth="1"/>
    <col min="27" max="27" width="11" customWidth="1"/>
    <col min="28" max="28" width="10.5546875" bestFit="1" customWidth="1"/>
    <col min="39" max="39" width="9.5546875" bestFit="1" customWidth="1"/>
    <col min="42" max="42" width="13.5546875" bestFit="1" customWidth="1"/>
  </cols>
  <sheetData>
    <row r="3" spans="1:47" x14ac:dyDescent="0.3">
      <c r="A3" s="6" t="s">
        <v>0</v>
      </c>
      <c r="B3" s="3" t="s">
        <v>210</v>
      </c>
      <c r="C3" s="3" t="s">
        <v>211</v>
      </c>
      <c r="D3" s="3" t="s">
        <v>115</v>
      </c>
      <c r="I3" s="6" t="s">
        <v>1</v>
      </c>
      <c r="J3" s="3" t="s">
        <v>113</v>
      </c>
      <c r="K3" s="3" t="s">
        <v>217</v>
      </c>
      <c r="L3" s="3" t="s">
        <v>218</v>
      </c>
      <c r="M3" s="3" t="s">
        <v>219</v>
      </c>
      <c r="N3" s="3" t="s">
        <v>220</v>
      </c>
      <c r="Q3" s="6" t="s">
        <v>28</v>
      </c>
      <c r="R3" s="3" t="s">
        <v>211</v>
      </c>
      <c r="S3" s="3" t="s">
        <v>226</v>
      </c>
      <c r="T3" s="3" t="s">
        <v>227</v>
      </c>
      <c r="W3" s="6" t="s">
        <v>29</v>
      </c>
      <c r="X3" s="3" t="s">
        <v>30</v>
      </c>
      <c r="Y3" s="3" t="s">
        <v>246</v>
      </c>
      <c r="Z3" s="3" t="s">
        <v>247</v>
      </c>
      <c r="AA3" s="3" t="s">
        <v>248</v>
      </c>
      <c r="AB3" s="3" t="s">
        <v>249</v>
      </c>
      <c r="AE3" s="3" t="s">
        <v>173</v>
      </c>
      <c r="AF3" s="3" t="s">
        <v>30</v>
      </c>
      <c r="AG3" s="3" t="s">
        <v>174</v>
      </c>
      <c r="AJ3" s="6" t="s">
        <v>165</v>
      </c>
      <c r="AK3" s="3" t="s">
        <v>250</v>
      </c>
      <c r="AL3" s="3" t="s">
        <v>251</v>
      </c>
      <c r="AM3" s="3" t="s">
        <v>246</v>
      </c>
      <c r="AN3" s="3" t="s">
        <v>252</v>
      </c>
      <c r="AQ3" s="6" t="s">
        <v>207</v>
      </c>
      <c r="AR3" s="3" t="s">
        <v>2</v>
      </c>
      <c r="AS3" s="3" t="s">
        <v>3</v>
      </c>
      <c r="AT3" s="3" t="s">
        <v>262</v>
      </c>
      <c r="AU3" s="3" t="s">
        <v>263</v>
      </c>
    </row>
    <row r="4" spans="1:47" x14ac:dyDescent="0.3">
      <c r="B4" s="3">
        <v>90</v>
      </c>
      <c r="C4" s="3" t="s">
        <v>212</v>
      </c>
      <c r="D4" s="3">
        <v>32.67</v>
      </c>
      <c r="J4" s="3">
        <v>1</v>
      </c>
      <c r="K4" s="3" t="s">
        <v>221</v>
      </c>
      <c r="L4" s="3">
        <v>0.36359999999999998</v>
      </c>
      <c r="M4" s="3">
        <v>9.5</v>
      </c>
      <c r="N4" s="3">
        <v>9.41</v>
      </c>
      <c r="R4" s="3" t="s">
        <v>228</v>
      </c>
      <c r="S4" s="3" t="s">
        <v>229</v>
      </c>
      <c r="T4" s="3">
        <v>14</v>
      </c>
      <c r="X4" s="3" t="s">
        <v>6</v>
      </c>
      <c r="Y4" s="3">
        <v>5</v>
      </c>
      <c r="Z4" s="3">
        <v>0.30099999999999999</v>
      </c>
      <c r="AA4" s="3">
        <v>7.01</v>
      </c>
      <c r="AB4" s="3">
        <v>6.99</v>
      </c>
      <c r="AE4" s="3">
        <v>2018</v>
      </c>
      <c r="AF4" s="3" t="s">
        <v>25</v>
      </c>
      <c r="AG4" s="3">
        <v>100</v>
      </c>
      <c r="AK4" s="3" t="s">
        <v>253</v>
      </c>
      <c r="AL4" s="3" t="s">
        <v>254</v>
      </c>
      <c r="AM4" s="3">
        <v>10</v>
      </c>
      <c r="AN4" s="3">
        <v>4</v>
      </c>
      <c r="AR4" s="3" t="s">
        <v>4</v>
      </c>
      <c r="AS4" s="3">
        <v>13</v>
      </c>
      <c r="AT4" s="3">
        <v>79.959999999999994</v>
      </c>
      <c r="AU4" s="3">
        <v>80.77</v>
      </c>
    </row>
    <row r="5" spans="1:47" x14ac:dyDescent="0.3">
      <c r="B5" s="3">
        <v>212</v>
      </c>
      <c r="C5" s="3" t="s">
        <v>213</v>
      </c>
      <c r="D5" s="3">
        <v>14.85</v>
      </c>
      <c r="J5" s="3">
        <v>1</v>
      </c>
      <c r="K5" s="3" t="s">
        <v>222</v>
      </c>
      <c r="L5" s="3">
        <v>0.3</v>
      </c>
      <c r="M5" s="3">
        <v>8</v>
      </c>
      <c r="N5" s="3">
        <v>7.92</v>
      </c>
      <c r="R5" s="3" t="s">
        <v>230</v>
      </c>
      <c r="S5" s="3" t="s">
        <v>229</v>
      </c>
      <c r="T5" s="3">
        <v>11</v>
      </c>
      <c r="X5" s="3" t="s">
        <v>8</v>
      </c>
      <c r="Y5" s="3">
        <v>4</v>
      </c>
      <c r="Z5" s="3">
        <v>0.253</v>
      </c>
      <c r="AA5" s="3">
        <v>8.25</v>
      </c>
      <c r="AB5" s="3">
        <v>8.19</v>
      </c>
      <c r="AE5" s="3">
        <v>2018</v>
      </c>
      <c r="AF5" s="3" t="s">
        <v>14</v>
      </c>
      <c r="AG5" s="3">
        <v>0</v>
      </c>
      <c r="AK5" s="3" t="s">
        <v>253</v>
      </c>
      <c r="AL5" s="3" t="s">
        <v>255</v>
      </c>
      <c r="AM5" s="3">
        <v>18</v>
      </c>
      <c r="AN5" s="3">
        <v>5</v>
      </c>
      <c r="AR5" s="3" t="s">
        <v>5</v>
      </c>
      <c r="AS5" s="3">
        <v>8</v>
      </c>
      <c r="AT5" s="3">
        <v>66.83</v>
      </c>
      <c r="AU5" s="3">
        <v>67.5</v>
      </c>
    </row>
    <row r="6" spans="1:47" x14ac:dyDescent="0.3">
      <c r="B6" s="3">
        <v>65</v>
      </c>
      <c r="C6" s="3" t="s">
        <v>214</v>
      </c>
      <c r="D6" s="3">
        <v>11.88</v>
      </c>
      <c r="J6" s="3">
        <v>2</v>
      </c>
      <c r="K6" s="3" t="s">
        <v>221</v>
      </c>
      <c r="L6" s="3">
        <v>0.5</v>
      </c>
      <c r="M6" s="3">
        <v>7.83</v>
      </c>
      <c r="N6" s="3">
        <v>7.76</v>
      </c>
      <c r="R6" s="3" t="s">
        <v>231</v>
      </c>
      <c r="S6" s="3" t="s">
        <v>232</v>
      </c>
      <c r="T6" s="3">
        <v>10</v>
      </c>
      <c r="X6" s="3" t="s">
        <v>5</v>
      </c>
      <c r="Y6" s="3">
        <v>8</v>
      </c>
      <c r="Z6" s="3">
        <v>0.222</v>
      </c>
      <c r="AA6" s="3">
        <v>7.48</v>
      </c>
      <c r="AB6" s="3">
        <v>7.42</v>
      </c>
      <c r="AE6" s="3">
        <v>2018</v>
      </c>
      <c r="AF6" s="3" t="s">
        <v>15</v>
      </c>
      <c r="AG6" s="3">
        <v>0</v>
      </c>
      <c r="AK6" s="3" t="s">
        <v>256</v>
      </c>
      <c r="AL6" s="3" t="s">
        <v>254</v>
      </c>
      <c r="AM6" s="3">
        <v>21</v>
      </c>
      <c r="AN6" s="3">
        <v>16</v>
      </c>
      <c r="AR6" s="3" t="s">
        <v>7</v>
      </c>
      <c r="AS6" s="3">
        <v>5</v>
      </c>
      <c r="AT6" s="3">
        <v>77.62</v>
      </c>
      <c r="AU6" s="3">
        <v>78.400000000000006</v>
      </c>
    </row>
    <row r="7" spans="1:47" x14ac:dyDescent="0.3">
      <c r="J7" s="3">
        <v>2</v>
      </c>
      <c r="K7" s="3" t="s">
        <v>222</v>
      </c>
      <c r="L7" s="3">
        <v>0.25</v>
      </c>
      <c r="M7" s="3">
        <v>7.2</v>
      </c>
      <c r="N7" s="3">
        <v>7.13</v>
      </c>
      <c r="R7" s="3" t="s">
        <v>229</v>
      </c>
      <c r="S7" s="3" t="s">
        <v>233</v>
      </c>
      <c r="T7" s="3">
        <v>10</v>
      </c>
      <c r="X7" s="3" t="s">
        <v>13</v>
      </c>
      <c r="Y7" s="3">
        <v>1</v>
      </c>
      <c r="Z7" s="3">
        <v>0.25</v>
      </c>
      <c r="AA7" s="3">
        <v>8.11</v>
      </c>
      <c r="AB7" s="3">
        <v>8.0299999999999994</v>
      </c>
      <c r="AE7" s="3">
        <v>2018</v>
      </c>
      <c r="AF7" s="3" t="s">
        <v>6</v>
      </c>
      <c r="AG7" s="3">
        <v>0</v>
      </c>
      <c r="AK7" s="3" t="s">
        <v>256</v>
      </c>
      <c r="AL7" s="3" t="s">
        <v>255</v>
      </c>
      <c r="AM7" s="3">
        <v>10</v>
      </c>
      <c r="AN7" s="3">
        <v>3</v>
      </c>
      <c r="AR7" s="3" t="s">
        <v>22</v>
      </c>
      <c r="AS7" s="3">
        <v>1</v>
      </c>
      <c r="AT7" s="3">
        <v>74.25</v>
      </c>
      <c r="AU7" s="3">
        <v>75</v>
      </c>
    </row>
    <row r="8" spans="1:47" x14ac:dyDescent="0.3">
      <c r="J8" s="3">
        <v>3</v>
      </c>
      <c r="K8" s="3" t="s">
        <v>221</v>
      </c>
      <c r="L8" s="3">
        <v>0.375</v>
      </c>
      <c r="M8" s="3">
        <v>15.67</v>
      </c>
      <c r="N8" s="3">
        <v>15.51</v>
      </c>
      <c r="R8" s="3" t="s">
        <v>234</v>
      </c>
      <c r="S8" s="3" t="s">
        <v>235</v>
      </c>
      <c r="T8" s="3">
        <v>10</v>
      </c>
      <c r="X8" s="3" t="s">
        <v>10</v>
      </c>
      <c r="Y8" s="3">
        <v>2</v>
      </c>
      <c r="Z8" s="3">
        <v>0.372</v>
      </c>
      <c r="AA8" s="3">
        <v>9.4700000000000006</v>
      </c>
      <c r="AB8" s="3">
        <v>9.3800000000000008</v>
      </c>
      <c r="AE8" s="3">
        <v>2018</v>
      </c>
      <c r="AF8" s="3" t="s">
        <v>5</v>
      </c>
      <c r="AG8" s="3">
        <v>50</v>
      </c>
      <c r="AR8" s="3" t="s">
        <v>12</v>
      </c>
      <c r="AS8" s="3">
        <v>2</v>
      </c>
      <c r="AT8" s="3">
        <v>91.58</v>
      </c>
      <c r="AU8" s="3">
        <v>92.5</v>
      </c>
    </row>
    <row r="9" spans="1:47" x14ac:dyDescent="0.3">
      <c r="A9" s="6" t="s">
        <v>215</v>
      </c>
      <c r="B9" s="3" t="s">
        <v>2</v>
      </c>
      <c r="C9" s="3" t="s">
        <v>216</v>
      </c>
      <c r="D9" s="3" t="s">
        <v>176</v>
      </c>
      <c r="E9" s="3" t="s">
        <v>115</v>
      </c>
      <c r="F9" s="3" t="s">
        <v>116</v>
      </c>
      <c r="J9" s="3">
        <v>3</v>
      </c>
      <c r="K9" s="3" t="s">
        <v>222</v>
      </c>
      <c r="L9" s="3">
        <v>0.26090000000000002</v>
      </c>
      <c r="M9" s="3">
        <v>8.83</v>
      </c>
      <c r="N9" s="3">
        <v>8.91</v>
      </c>
      <c r="X9" s="3" t="s">
        <v>14</v>
      </c>
      <c r="Y9" s="3">
        <v>1</v>
      </c>
      <c r="Z9" s="3">
        <v>0.25</v>
      </c>
      <c r="AA9" s="3">
        <v>7.78</v>
      </c>
      <c r="AB9" s="3">
        <v>7.7</v>
      </c>
      <c r="AE9" s="3">
        <v>2018</v>
      </c>
      <c r="AF9" s="3" t="s">
        <v>27</v>
      </c>
      <c r="AG9" s="3">
        <v>0</v>
      </c>
      <c r="AR9" s="3" t="s">
        <v>8</v>
      </c>
      <c r="AS9" s="3">
        <v>4</v>
      </c>
      <c r="AT9" s="3">
        <v>83.41</v>
      </c>
      <c r="AU9" s="3">
        <v>84.25</v>
      </c>
    </row>
    <row r="10" spans="1:47" x14ac:dyDescent="0.3">
      <c r="B10" s="3" t="s">
        <v>26</v>
      </c>
      <c r="C10" s="3">
        <v>4</v>
      </c>
      <c r="D10" s="3" t="s">
        <v>179</v>
      </c>
      <c r="E10" s="3">
        <v>16.829999999999998</v>
      </c>
      <c r="F10" s="3">
        <v>1</v>
      </c>
      <c r="J10" s="3">
        <v>4</v>
      </c>
      <c r="K10" s="3" t="s">
        <v>221</v>
      </c>
      <c r="L10" s="3">
        <v>0.66669999999999996</v>
      </c>
      <c r="M10" s="3">
        <v>7.75</v>
      </c>
      <c r="N10" s="3">
        <v>7.67</v>
      </c>
      <c r="R10" s="6" t="s">
        <v>223</v>
      </c>
      <c r="X10" s="3" t="s">
        <v>15</v>
      </c>
      <c r="Y10" s="3">
        <v>1</v>
      </c>
      <c r="Z10" s="3">
        <v>0.26900000000000002</v>
      </c>
      <c r="AA10" s="3">
        <v>8.7100000000000009</v>
      </c>
      <c r="AB10" s="3">
        <v>8.6300000000000008</v>
      </c>
      <c r="AE10" s="3">
        <v>2018</v>
      </c>
      <c r="AF10" s="3" t="s">
        <v>10</v>
      </c>
      <c r="AG10" s="3">
        <v>0</v>
      </c>
      <c r="AR10" s="3" t="s">
        <v>11</v>
      </c>
      <c r="AS10" s="3">
        <v>2</v>
      </c>
      <c r="AT10" s="3">
        <v>92.07</v>
      </c>
      <c r="AU10" s="3">
        <v>93</v>
      </c>
    </row>
    <row r="11" spans="1:47" x14ac:dyDescent="0.3">
      <c r="B11" s="3" t="s">
        <v>25</v>
      </c>
      <c r="C11" s="3">
        <v>1</v>
      </c>
      <c r="D11" s="3" t="s">
        <v>178</v>
      </c>
      <c r="E11" s="3">
        <v>33.659999999999997</v>
      </c>
      <c r="F11" s="3">
        <v>1</v>
      </c>
      <c r="J11" s="3">
        <v>4</v>
      </c>
      <c r="K11" s="3" t="s">
        <v>222</v>
      </c>
      <c r="L11" s="3">
        <v>0.21740000000000001</v>
      </c>
      <c r="M11" s="3">
        <v>8.4</v>
      </c>
      <c r="N11" s="3">
        <v>8.32</v>
      </c>
      <c r="X11" s="3" t="s">
        <v>16</v>
      </c>
      <c r="Y11" s="3">
        <v>1</v>
      </c>
      <c r="Z11" s="3">
        <v>0.27800000000000002</v>
      </c>
      <c r="AA11" s="3">
        <v>3.8</v>
      </c>
      <c r="AB11" s="3">
        <v>3.76</v>
      </c>
      <c r="AE11" s="3">
        <v>2018</v>
      </c>
      <c r="AF11" s="3" t="s">
        <v>16</v>
      </c>
      <c r="AG11" s="3">
        <v>0</v>
      </c>
      <c r="AJ11" s="6" t="s">
        <v>166</v>
      </c>
      <c r="AL11" s="3" t="s">
        <v>250</v>
      </c>
      <c r="AM11" s="3" t="s">
        <v>257</v>
      </c>
      <c r="AR11" s="3" t="s">
        <v>17</v>
      </c>
      <c r="AS11" s="3">
        <v>1</v>
      </c>
      <c r="AT11" s="3">
        <v>79.2</v>
      </c>
      <c r="AU11" s="3">
        <v>80</v>
      </c>
    </row>
    <row r="12" spans="1:47" x14ac:dyDescent="0.3">
      <c r="B12" s="3" t="s">
        <v>14</v>
      </c>
      <c r="C12" s="3">
        <v>1</v>
      </c>
      <c r="D12" s="3" t="s">
        <v>178</v>
      </c>
      <c r="E12" s="3">
        <v>39.6</v>
      </c>
      <c r="F12" s="3">
        <v>1</v>
      </c>
      <c r="J12" s="3">
        <v>5</v>
      </c>
      <c r="K12" s="3" t="s">
        <v>221</v>
      </c>
      <c r="L12" s="3">
        <v>0.33329999999999999</v>
      </c>
      <c r="M12" s="3">
        <v>7.33</v>
      </c>
      <c r="N12" s="3">
        <v>7.26</v>
      </c>
      <c r="R12" s="3" t="s">
        <v>176</v>
      </c>
      <c r="S12" s="3" t="s">
        <v>236</v>
      </c>
      <c r="T12" s="3" t="s">
        <v>227</v>
      </c>
      <c r="X12" s="3" t="s">
        <v>4</v>
      </c>
      <c r="Y12" s="3">
        <v>13</v>
      </c>
      <c r="Z12" s="3">
        <v>0.24</v>
      </c>
      <c r="AA12" s="3">
        <v>8.09</v>
      </c>
      <c r="AB12" s="3">
        <v>8.01</v>
      </c>
      <c r="AE12" s="3">
        <v>2018</v>
      </c>
      <c r="AF12" s="3" t="s">
        <v>17</v>
      </c>
      <c r="AG12" s="3">
        <v>0</v>
      </c>
      <c r="AL12" s="3" t="s">
        <v>253</v>
      </c>
      <c r="AM12" s="8">
        <v>85.14</v>
      </c>
      <c r="AR12" s="3" t="s">
        <v>6</v>
      </c>
      <c r="AS12" s="3">
        <v>5</v>
      </c>
      <c r="AT12" s="3">
        <v>84.94</v>
      </c>
      <c r="AU12" s="3">
        <v>85.8</v>
      </c>
    </row>
    <row r="13" spans="1:47" x14ac:dyDescent="0.3">
      <c r="B13" s="3" t="s">
        <v>15</v>
      </c>
      <c r="C13" s="3">
        <v>1</v>
      </c>
      <c r="D13" s="3" t="s">
        <v>178</v>
      </c>
      <c r="E13" s="3">
        <v>25.74</v>
      </c>
      <c r="F13" s="3">
        <v>1</v>
      </c>
      <c r="J13" s="3">
        <v>5</v>
      </c>
      <c r="K13" s="3" t="s">
        <v>222</v>
      </c>
      <c r="L13" s="3">
        <v>0.5</v>
      </c>
      <c r="M13" s="3">
        <v>8.27</v>
      </c>
      <c r="N13" s="3">
        <v>8.18</v>
      </c>
      <c r="R13" s="3" t="s">
        <v>178</v>
      </c>
      <c r="S13" s="3" t="s">
        <v>180</v>
      </c>
      <c r="T13" s="3">
        <v>268</v>
      </c>
      <c r="X13" s="3" t="s">
        <v>11</v>
      </c>
      <c r="Y13" s="3">
        <v>2</v>
      </c>
      <c r="Z13" s="3">
        <v>0.318</v>
      </c>
      <c r="AA13" s="3">
        <v>6.56</v>
      </c>
      <c r="AB13" s="3">
        <v>6.53</v>
      </c>
      <c r="AE13" s="3">
        <v>2018</v>
      </c>
      <c r="AF13" s="3" t="s">
        <v>7</v>
      </c>
      <c r="AG13" s="3">
        <v>50</v>
      </c>
      <c r="AL13" s="3" t="s">
        <v>256</v>
      </c>
      <c r="AM13" s="8">
        <v>75.016452000000001</v>
      </c>
      <c r="AR13" s="3" t="s">
        <v>16</v>
      </c>
      <c r="AS13" s="3">
        <v>1</v>
      </c>
      <c r="AT13" s="3">
        <v>37.619999999999997</v>
      </c>
      <c r="AU13" s="3">
        <v>38</v>
      </c>
    </row>
    <row r="14" spans="1:47" x14ac:dyDescent="0.3">
      <c r="B14" s="3" t="s">
        <v>6</v>
      </c>
      <c r="C14" s="3">
        <v>1</v>
      </c>
      <c r="D14" s="3" t="s">
        <v>178</v>
      </c>
      <c r="E14" s="3">
        <v>202.95</v>
      </c>
      <c r="F14" s="3">
        <v>1</v>
      </c>
      <c r="J14" s="3">
        <v>6</v>
      </c>
      <c r="K14" s="3" t="s">
        <v>221</v>
      </c>
      <c r="L14" s="3">
        <v>0.4</v>
      </c>
      <c r="M14" s="3">
        <v>12</v>
      </c>
      <c r="N14" s="3">
        <v>11.88</v>
      </c>
      <c r="R14" s="3" t="s">
        <v>178</v>
      </c>
      <c r="S14" s="3" t="s">
        <v>179</v>
      </c>
      <c r="T14" s="3">
        <v>202</v>
      </c>
      <c r="X14" s="3" t="s">
        <v>7</v>
      </c>
      <c r="Y14" s="3">
        <v>5</v>
      </c>
      <c r="Z14" s="3">
        <v>0.245</v>
      </c>
      <c r="AA14" s="3">
        <v>7.9</v>
      </c>
      <c r="AB14" s="3">
        <v>7.84</v>
      </c>
      <c r="AE14" s="3">
        <v>2018</v>
      </c>
      <c r="AF14" s="3" t="s">
        <v>8</v>
      </c>
      <c r="AG14" s="3">
        <v>0</v>
      </c>
      <c r="AR14" s="3" t="s">
        <v>9</v>
      </c>
      <c r="AS14" s="3">
        <v>3</v>
      </c>
      <c r="AT14" s="3">
        <v>81.84</v>
      </c>
      <c r="AU14" s="3">
        <v>82.67</v>
      </c>
    </row>
    <row r="15" spans="1:47" x14ac:dyDescent="0.3">
      <c r="B15" s="3" t="s">
        <v>5</v>
      </c>
      <c r="C15" s="3">
        <v>1</v>
      </c>
      <c r="D15" s="3" t="s">
        <v>178</v>
      </c>
      <c r="E15" s="3">
        <v>329.67</v>
      </c>
      <c r="F15" s="3">
        <v>1</v>
      </c>
      <c r="J15" s="3">
        <v>6</v>
      </c>
      <c r="K15" s="3" t="s">
        <v>222</v>
      </c>
      <c r="L15" s="3">
        <v>0.30769999999999997</v>
      </c>
      <c r="M15" s="3">
        <v>10.25</v>
      </c>
      <c r="N15" s="3">
        <v>10.15</v>
      </c>
      <c r="R15" s="3" t="s">
        <v>180</v>
      </c>
      <c r="S15" s="3" t="s">
        <v>179</v>
      </c>
      <c r="T15" s="3">
        <v>144</v>
      </c>
      <c r="X15" s="3" t="s">
        <v>17</v>
      </c>
      <c r="Y15" s="3">
        <v>1</v>
      </c>
      <c r="Z15" s="3">
        <v>0.23400000000000001</v>
      </c>
      <c r="AA15" s="3">
        <v>7.27</v>
      </c>
      <c r="AB15" s="3">
        <v>7.2</v>
      </c>
      <c r="AE15" s="3">
        <v>2018</v>
      </c>
      <c r="AF15" s="3" t="s">
        <v>18</v>
      </c>
      <c r="AG15" s="3">
        <v>0</v>
      </c>
      <c r="AR15" s="3" t="s">
        <v>13</v>
      </c>
      <c r="AS15" s="3">
        <v>1</v>
      </c>
      <c r="AT15" s="3">
        <v>72.27</v>
      </c>
      <c r="AU15" s="3">
        <v>73</v>
      </c>
    </row>
    <row r="16" spans="1:47" x14ac:dyDescent="0.3">
      <c r="B16" s="3" t="s">
        <v>27</v>
      </c>
      <c r="C16" s="3">
        <v>1</v>
      </c>
      <c r="D16" s="3" t="s">
        <v>178</v>
      </c>
      <c r="E16" s="3">
        <v>60.39</v>
      </c>
      <c r="F16" s="3">
        <v>1</v>
      </c>
      <c r="J16" s="3">
        <v>7</v>
      </c>
      <c r="K16" s="3" t="s">
        <v>221</v>
      </c>
      <c r="L16" s="3">
        <v>0.3</v>
      </c>
      <c r="M16" s="3">
        <v>8.33</v>
      </c>
      <c r="N16" s="3">
        <v>8.25</v>
      </c>
      <c r="R16" s="3" t="s">
        <v>178</v>
      </c>
      <c r="S16" s="3" t="s">
        <v>184</v>
      </c>
      <c r="T16" s="3">
        <v>104</v>
      </c>
      <c r="X16" s="3" t="s">
        <v>18</v>
      </c>
      <c r="Y16" s="3">
        <v>1</v>
      </c>
      <c r="Z16" s="3">
        <v>0.222</v>
      </c>
      <c r="AA16" s="3">
        <v>7.9</v>
      </c>
      <c r="AB16" s="3">
        <v>7.82</v>
      </c>
      <c r="AE16" s="3">
        <v>2018</v>
      </c>
      <c r="AF16" s="3" t="s">
        <v>12</v>
      </c>
      <c r="AG16" s="3">
        <v>0</v>
      </c>
      <c r="AK16" s="3" t="s">
        <v>258</v>
      </c>
      <c r="AL16" s="3" t="s">
        <v>259</v>
      </c>
      <c r="AM16" s="3" t="s">
        <v>257</v>
      </c>
      <c r="AR16" s="3" t="s">
        <v>25</v>
      </c>
      <c r="AS16" s="3">
        <v>1</v>
      </c>
      <c r="AT16" s="3">
        <v>81.180000000000007</v>
      </c>
      <c r="AU16" s="3">
        <v>82</v>
      </c>
    </row>
    <row r="17" spans="2:47" x14ac:dyDescent="0.3">
      <c r="B17" s="3" t="s">
        <v>10</v>
      </c>
      <c r="C17" s="3">
        <v>1</v>
      </c>
      <c r="D17" s="3" t="s">
        <v>178</v>
      </c>
      <c r="E17" s="3">
        <v>141.57</v>
      </c>
      <c r="F17" s="3">
        <v>1</v>
      </c>
      <c r="J17" s="3">
        <v>7</v>
      </c>
      <c r="K17" s="3" t="s">
        <v>222</v>
      </c>
      <c r="L17" s="3">
        <v>0.35289999999999999</v>
      </c>
      <c r="M17" s="3">
        <v>7.5</v>
      </c>
      <c r="N17" s="3">
        <v>7.43</v>
      </c>
      <c r="R17" s="3" t="s">
        <v>178</v>
      </c>
      <c r="S17" s="3" t="s">
        <v>181</v>
      </c>
      <c r="T17" s="3">
        <v>90</v>
      </c>
      <c r="X17" s="3" t="s">
        <v>19</v>
      </c>
      <c r="Y17" s="3">
        <v>1</v>
      </c>
      <c r="Z17" s="3">
        <v>0.28299999999999997</v>
      </c>
      <c r="AA17" s="3">
        <v>8.85</v>
      </c>
      <c r="AB17" s="3">
        <v>8.83</v>
      </c>
      <c r="AE17" s="3">
        <v>2018</v>
      </c>
      <c r="AF17" s="3" t="s">
        <v>19</v>
      </c>
      <c r="AG17" s="3">
        <v>0</v>
      </c>
      <c r="AK17" s="3">
        <v>0</v>
      </c>
      <c r="AL17" s="3" t="s">
        <v>260</v>
      </c>
      <c r="AM17" s="8">
        <v>83.287741999999994</v>
      </c>
      <c r="AR17" s="3" t="s">
        <v>18</v>
      </c>
      <c r="AS17" s="3">
        <v>1</v>
      </c>
      <c r="AT17" s="3">
        <v>78.209999999999994</v>
      </c>
      <c r="AU17" s="3">
        <v>79</v>
      </c>
    </row>
    <row r="18" spans="2:47" x14ac:dyDescent="0.3">
      <c r="B18" s="3" t="s">
        <v>16</v>
      </c>
      <c r="C18" s="3">
        <v>1</v>
      </c>
      <c r="D18" s="3" t="s">
        <v>178</v>
      </c>
      <c r="E18" s="3">
        <v>23.76</v>
      </c>
      <c r="F18" s="3">
        <v>1</v>
      </c>
      <c r="J18" s="3">
        <v>8</v>
      </c>
      <c r="K18" s="3" t="s">
        <v>221</v>
      </c>
      <c r="L18" s="3">
        <v>1</v>
      </c>
      <c r="M18" s="3">
        <v>7.33</v>
      </c>
      <c r="N18" s="3">
        <v>7.26</v>
      </c>
      <c r="X18" s="3" t="s">
        <v>20</v>
      </c>
      <c r="Y18" s="3">
        <v>1</v>
      </c>
      <c r="Z18" s="3">
        <v>0.214</v>
      </c>
      <c r="AA18" s="3">
        <v>5.67</v>
      </c>
      <c r="AB18" s="3">
        <v>5.61</v>
      </c>
      <c r="AE18" s="3">
        <v>2018</v>
      </c>
      <c r="AF18" s="3" t="s">
        <v>20</v>
      </c>
      <c r="AG18" s="3">
        <v>0</v>
      </c>
      <c r="AK18" s="3">
        <v>1</v>
      </c>
      <c r="AL18" s="3" t="s">
        <v>261</v>
      </c>
      <c r="AM18" s="8">
        <v>75.982500000000002</v>
      </c>
      <c r="AR18" s="3" t="s">
        <v>19</v>
      </c>
      <c r="AS18" s="3">
        <v>1</v>
      </c>
      <c r="AT18" s="3">
        <v>113.85</v>
      </c>
      <c r="AU18" s="3">
        <v>115</v>
      </c>
    </row>
    <row r="19" spans="2:47" x14ac:dyDescent="0.3">
      <c r="B19" s="3" t="s">
        <v>17</v>
      </c>
      <c r="C19" s="3">
        <v>1</v>
      </c>
      <c r="D19" s="3" t="s">
        <v>178</v>
      </c>
      <c r="E19" s="3">
        <v>45.54</v>
      </c>
      <c r="F19" s="3">
        <v>1</v>
      </c>
      <c r="J19" s="3">
        <v>8</v>
      </c>
      <c r="K19" s="3" t="s">
        <v>222</v>
      </c>
      <c r="L19" s="3">
        <v>0.28570000000000001</v>
      </c>
      <c r="M19" s="3">
        <v>9.75</v>
      </c>
      <c r="N19" s="3">
        <v>9.65</v>
      </c>
      <c r="R19" s="6" t="s">
        <v>224</v>
      </c>
      <c r="X19" s="3" t="s">
        <v>21</v>
      </c>
      <c r="Y19" s="3">
        <v>1</v>
      </c>
      <c r="Z19" s="3">
        <v>0.28599999999999998</v>
      </c>
      <c r="AA19" s="3">
        <v>6.5</v>
      </c>
      <c r="AB19" s="3">
        <v>6.53</v>
      </c>
      <c r="AE19" s="3">
        <v>2018</v>
      </c>
      <c r="AF19" s="3" t="s">
        <v>21</v>
      </c>
      <c r="AG19" s="3">
        <v>0</v>
      </c>
      <c r="AR19" s="3" t="s">
        <v>24</v>
      </c>
      <c r="AS19" s="3">
        <v>1</v>
      </c>
      <c r="AT19" s="3">
        <v>75.239999999999995</v>
      </c>
      <c r="AU19" s="3">
        <v>76</v>
      </c>
    </row>
    <row r="20" spans="2:47" x14ac:dyDescent="0.3">
      <c r="B20" s="3" t="s">
        <v>7</v>
      </c>
      <c r="C20" s="3">
        <v>1</v>
      </c>
      <c r="D20" s="3" t="s">
        <v>178</v>
      </c>
      <c r="E20" s="3">
        <v>207.9</v>
      </c>
      <c r="F20" s="3">
        <v>1</v>
      </c>
      <c r="J20" s="3">
        <v>9</v>
      </c>
      <c r="K20" s="3" t="s">
        <v>221</v>
      </c>
      <c r="L20" s="3">
        <v>0.41670000000000001</v>
      </c>
      <c r="M20" s="3">
        <v>5.2</v>
      </c>
      <c r="N20" s="3">
        <v>5.15</v>
      </c>
      <c r="X20" s="3" t="s">
        <v>22</v>
      </c>
      <c r="Y20" s="3">
        <v>1</v>
      </c>
      <c r="Z20" s="3">
        <v>0.20799999999999999</v>
      </c>
      <c r="AA20" s="3">
        <v>7.5</v>
      </c>
      <c r="AB20" s="3">
        <v>7.62</v>
      </c>
      <c r="AE20" s="3">
        <v>2018</v>
      </c>
      <c r="AF20" s="3" t="s">
        <v>13</v>
      </c>
      <c r="AG20" s="3">
        <v>0</v>
      </c>
      <c r="AR20" s="3" t="s">
        <v>23</v>
      </c>
      <c r="AS20" s="3">
        <v>1</v>
      </c>
      <c r="AT20" s="3">
        <v>98.01</v>
      </c>
      <c r="AU20" s="3">
        <v>99</v>
      </c>
    </row>
    <row r="21" spans="2:47" x14ac:dyDescent="0.3">
      <c r="B21" s="3" t="s">
        <v>8</v>
      </c>
      <c r="C21" s="3">
        <v>1</v>
      </c>
      <c r="D21" s="3" t="s">
        <v>178</v>
      </c>
      <c r="E21" s="3">
        <v>192.06</v>
      </c>
      <c r="F21" s="3">
        <v>1</v>
      </c>
      <c r="J21" s="3">
        <v>9</v>
      </c>
      <c r="K21" s="3" t="s">
        <v>222</v>
      </c>
      <c r="L21" s="3">
        <v>0.27779999999999999</v>
      </c>
      <c r="M21" s="3">
        <v>2.4</v>
      </c>
      <c r="N21" s="3">
        <v>2.38</v>
      </c>
      <c r="R21" s="3" t="s">
        <v>237</v>
      </c>
      <c r="S21" s="3" t="s">
        <v>238</v>
      </c>
      <c r="T21" s="3" t="s">
        <v>227</v>
      </c>
      <c r="X21" s="3" t="s">
        <v>23</v>
      </c>
      <c r="Y21" s="3">
        <v>1</v>
      </c>
      <c r="Z21" s="3">
        <v>0.28199999999999997</v>
      </c>
      <c r="AA21" s="3">
        <v>9</v>
      </c>
      <c r="AB21" s="3">
        <v>8.91</v>
      </c>
      <c r="AE21" s="3">
        <v>2018</v>
      </c>
      <c r="AF21" s="3" t="s">
        <v>22</v>
      </c>
      <c r="AG21" s="3">
        <v>0</v>
      </c>
      <c r="AR21" s="3" t="s">
        <v>27</v>
      </c>
      <c r="AS21" s="3">
        <v>1</v>
      </c>
      <c r="AT21" s="3">
        <v>97.02</v>
      </c>
      <c r="AU21" s="3">
        <v>98</v>
      </c>
    </row>
    <row r="22" spans="2:47" x14ac:dyDescent="0.3">
      <c r="B22" s="3" t="s">
        <v>18</v>
      </c>
      <c r="C22" s="3">
        <v>1</v>
      </c>
      <c r="D22" s="3" t="s">
        <v>178</v>
      </c>
      <c r="E22" s="3">
        <v>43.56</v>
      </c>
      <c r="F22" s="3">
        <v>1</v>
      </c>
      <c r="J22" s="3">
        <v>10</v>
      </c>
      <c r="K22" s="3" t="s">
        <v>221</v>
      </c>
      <c r="L22" s="3">
        <v>0.2727</v>
      </c>
      <c r="M22" s="3">
        <v>7.33</v>
      </c>
      <c r="N22" s="3">
        <v>7.59</v>
      </c>
      <c r="R22" s="3" t="s">
        <v>239</v>
      </c>
      <c r="S22" s="3" t="s">
        <v>240</v>
      </c>
      <c r="T22" s="3">
        <v>19</v>
      </c>
      <c r="X22" s="3" t="s">
        <v>24</v>
      </c>
      <c r="Y22" s="3">
        <v>1</v>
      </c>
      <c r="Z22" s="3">
        <v>0.222</v>
      </c>
      <c r="AA22" s="3">
        <v>7.6</v>
      </c>
      <c r="AB22" s="3">
        <v>7.52</v>
      </c>
      <c r="AE22" s="3">
        <v>2018</v>
      </c>
      <c r="AF22" s="3" t="s">
        <v>11</v>
      </c>
      <c r="AG22" s="3">
        <v>0</v>
      </c>
      <c r="AR22" s="3" t="s">
        <v>20</v>
      </c>
      <c r="AS22" s="3">
        <v>1</v>
      </c>
      <c r="AT22" s="3">
        <v>50.49</v>
      </c>
      <c r="AU22" s="3">
        <v>51</v>
      </c>
    </row>
    <row r="23" spans="2:47" x14ac:dyDescent="0.3">
      <c r="B23" s="3" t="s">
        <v>12</v>
      </c>
      <c r="C23" s="3">
        <v>1</v>
      </c>
      <c r="D23" s="3" t="s">
        <v>178</v>
      </c>
      <c r="E23" s="3">
        <v>100.98</v>
      </c>
      <c r="F23" s="3">
        <v>1</v>
      </c>
      <c r="J23" s="3">
        <v>10</v>
      </c>
      <c r="K23" s="3" t="s">
        <v>222</v>
      </c>
      <c r="L23" s="3">
        <v>0.36</v>
      </c>
      <c r="M23" s="3">
        <v>4.22</v>
      </c>
      <c r="N23" s="3">
        <v>4.18</v>
      </c>
      <c r="R23" s="3" t="s">
        <v>240</v>
      </c>
      <c r="S23" s="3" t="s">
        <v>241</v>
      </c>
      <c r="T23" s="3">
        <v>18</v>
      </c>
      <c r="X23" s="3" t="s">
        <v>9</v>
      </c>
      <c r="Y23" s="3">
        <v>3</v>
      </c>
      <c r="Z23" s="3">
        <v>0.23100000000000001</v>
      </c>
      <c r="AA23" s="3">
        <v>8.84</v>
      </c>
      <c r="AB23" s="3">
        <v>8.75</v>
      </c>
      <c r="AE23" s="3">
        <v>2018</v>
      </c>
      <c r="AF23" s="3" t="s">
        <v>23</v>
      </c>
      <c r="AG23" s="3">
        <v>100</v>
      </c>
      <c r="AI23" s="6" t="s">
        <v>277</v>
      </c>
      <c r="AR23" s="3" t="s">
        <v>10</v>
      </c>
      <c r="AS23" s="3">
        <v>2</v>
      </c>
      <c r="AT23" s="3">
        <v>136.62</v>
      </c>
      <c r="AU23" s="3">
        <v>138</v>
      </c>
    </row>
    <row r="24" spans="2:47" x14ac:dyDescent="0.3">
      <c r="B24" s="3" t="s">
        <v>19</v>
      </c>
      <c r="C24" s="3">
        <v>1</v>
      </c>
      <c r="D24" s="3" t="s">
        <v>178</v>
      </c>
      <c r="E24" s="3">
        <v>70.290000000000006</v>
      </c>
      <c r="F24" s="3">
        <v>1</v>
      </c>
      <c r="J24" s="3">
        <v>11</v>
      </c>
      <c r="K24" s="3" t="s">
        <v>221</v>
      </c>
      <c r="L24" s="3">
        <v>0.6</v>
      </c>
      <c r="M24" s="3">
        <v>3.67</v>
      </c>
      <c r="N24" s="3">
        <v>3.63</v>
      </c>
      <c r="R24" s="3" t="s">
        <v>242</v>
      </c>
      <c r="S24" s="3" t="s">
        <v>243</v>
      </c>
      <c r="T24" s="3">
        <v>16</v>
      </c>
      <c r="X24" s="3" t="s">
        <v>25</v>
      </c>
      <c r="Y24" s="3">
        <v>1</v>
      </c>
      <c r="Z24" s="3">
        <v>0.21299999999999999</v>
      </c>
      <c r="AA24" s="3">
        <v>8.1999999999999993</v>
      </c>
      <c r="AB24" s="3">
        <v>8.1199999999999992</v>
      </c>
      <c r="AE24" s="3">
        <v>2018</v>
      </c>
      <c r="AF24" s="3" t="s">
        <v>24</v>
      </c>
      <c r="AG24" s="3">
        <v>0</v>
      </c>
      <c r="AR24" s="3" t="s">
        <v>21</v>
      </c>
      <c r="AS24" s="3">
        <v>1</v>
      </c>
      <c r="AT24" s="3">
        <v>64.349999999999994</v>
      </c>
      <c r="AU24" s="3">
        <v>65</v>
      </c>
    </row>
    <row r="25" spans="2:47" x14ac:dyDescent="0.3">
      <c r="B25" s="3" t="s">
        <v>20</v>
      </c>
      <c r="C25" s="3">
        <v>1</v>
      </c>
      <c r="D25" s="3" t="s">
        <v>178</v>
      </c>
      <c r="E25" s="3">
        <v>34.65</v>
      </c>
      <c r="F25" s="3">
        <v>1</v>
      </c>
      <c r="J25" s="3">
        <v>11</v>
      </c>
      <c r="K25" s="3" t="s">
        <v>222</v>
      </c>
      <c r="L25" s="3">
        <v>0.4118</v>
      </c>
      <c r="M25" s="3">
        <v>8.43</v>
      </c>
      <c r="N25" s="3">
        <v>8.34</v>
      </c>
      <c r="R25" s="3" t="s">
        <v>244</v>
      </c>
      <c r="S25" s="3" t="s">
        <v>245</v>
      </c>
      <c r="T25" s="3">
        <v>16</v>
      </c>
      <c r="X25" s="3" t="s">
        <v>26</v>
      </c>
      <c r="Y25" s="3">
        <v>1</v>
      </c>
      <c r="Z25" s="3">
        <v>0.185</v>
      </c>
      <c r="AA25" s="3">
        <v>8</v>
      </c>
      <c r="AB25" s="3">
        <v>7.92</v>
      </c>
      <c r="AE25" s="3">
        <v>2018</v>
      </c>
      <c r="AF25" s="3" t="s">
        <v>9</v>
      </c>
      <c r="AG25" s="3">
        <v>33.33</v>
      </c>
      <c r="AR25" s="3" t="s">
        <v>15</v>
      </c>
      <c r="AS25" s="3">
        <v>1</v>
      </c>
      <c r="AT25" s="3">
        <v>60.39</v>
      </c>
      <c r="AU25" s="3">
        <v>61</v>
      </c>
    </row>
    <row r="26" spans="2:47" x14ac:dyDescent="0.3">
      <c r="B26" s="3" t="s">
        <v>21</v>
      </c>
      <c r="C26" s="3">
        <v>1</v>
      </c>
      <c r="D26" s="3" t="s">
        <v>178</v>
      </c>
      <c r="E26" s="3">
        <v>31.68</v>
      </c>
      <c r="F26" s="3">
        <v>1</v>
      </c>
      <c r="J26" s="3">
        <v>12</v>
      </c>
      <c r="K26" s="3" t="s">
        <v>221</v>
      </c>
      <c r="L26" s="3">
        <v>0.3</v>
      </c>
      <c r="M26" s="3">
        <v>8.67</v>
      </c>
      <c r="N26" s="3">
        <v>8.58</v>
      </c>
      <c r="R26" s="3" t="s">
        <v>244</v>
      </c>
      <c r="S26" s="3" t="s">
        <v>240</v>
      </c>
      <c r="T26" s="3">
        <v>15</v>
      </c>
      <c r="X26" s="3" t="s">
        <v>27</v>
      </c>
      <c r="Y26" s="3">
        <v>1</v>
      </c>
      <c r="Z26" s="3">
        <v>0.33300000000000002</v>
      </c>
      <c r="AA26" s="3">
        <v>7.54</v>
      </c>
      <c r="AB26" s="3">
        <v>7.46</v>
      </c>
      <c r="AE26" s="3">
        <v>2018</v>
      </c>
      <c r="AF26" s="3" t="s">
        <v>4</v>
      </c>
      <c r="AG26" s="3">
        <v>15.38</v>
      </c>
      <c r="AR26" s="3" t="s">
        <v>14</v>
      </c>
      <c r="AS26" s="3">
        <v>1</v>
      </c>
      <c r="AT26" s="3">
        <v>69.3</v>
      </c>
      <c r="AU26" s="3">
        <v>70</v>
      </c>
    </row>
    <row r="27" spans="2:47" x14ac:dyDescent="0.3">
      <c r="B27" s="3" t="s">
        <v>13</v>
      </c>
      <c r="C27" s="3">
        <v>1</v>
      </c>
      <c r="D27" s="3" t="s">
        <v>178</v>
      </c>
      <c r="E27" s="3">
        <v>39.6</v>
      </c>
      <c r="F27" s="3">
        <v>1</v>
      </c>
      <c r="J27" s="3">
        <v>12</v>
      </c>
      <c r="K27" s="3" t="s">
        <v>222</v>
      </c>
      <c r="L27" s="3">
        <v>0.27589999999999998</v>
      </c>
      <c r="M27" s="3">
        <v>7</v>
      </c>
      <c r="N27" s="3">
        <v>7.05</v>
      </c>
      <c r="X27" s="3" t="s">
        <v>12</v>
      </c>
      <c r="Y27" s="3">
        <v>2</v>
      </c>
      <c r="Z27" s="3">
        <v>0.24199999999999999</v>
      </c>
      <c r="AA27" s="3">
        <v>8.85</v>
      </c>
      <c r="AB27" s="3">
        <v>8.76</v>
      </c>
      <c r="AE27" s="3">
        <v>2019</v>
      </c>
      <c r="AF27" s="3" t="s">
        <v>26</v>
      </c>
      <c r="AG27" s="3">
        <v>0</v>
      </c>
      <c r="AR27" s="3" t="s">
        <v>26</v>
      </c>
      <c r="AS27" s="3">
        <v>1</v>
      </c>
      <c r="AT27" s="3">
        <v>39.6</v>
      </c>
      <c r="AU27" s="3">
        <v>40</v>
      </c>
    </row>
    <row r="28" spans="2:47" x14ac:dyDescent="0.3">
      <c r="B28" s="3" t="s">
        <v>22</v>
      </c>
      <c r="C28" s="3">
        <v>1</v>
      </c>
      <c r="D28" s="3" t="s">
        <v>178</v>
      </c>
      <c r="E28" s="3">
        <v>38.61</v>
      </c>
      <c r="F28" s="3">
        <v>1</v>
      </c>
      <c r="J28" s="3">
        <v>13</v>
      </c>
      <c r="K28" s="3" t="s">
        <v>221</v>
      </c>
      <c r="L28" s="3">
        <v>0.8</v>
      </c>
      <c r="M28" s="3">
        <v>7.63</v>
      </c>
      <c r="N28" s="3">
        <v>7.55</v>
      </c>
      <c r="R28" s="6" t="s">
        <v>225</v>
      </c>
      <c r="AE28" s="3">
        <v>2019</v>
      </c>
      <c r="AF28" s="3" t="s">
        <v>14</v>
      </c>
      <c r="AG28" s="3">
        <v>0</v>
      </c>
    </row>
    <row r="29" spans="2:47" x14ac:dyDescent="0.3">
      <c r="B29" s="3" t="s">
        <v>11</v>
      </c>
      <c r="C29" s="3">
        <v>1</v>
      </c>
      <c r="D29" s="3" t="s">
        <v>178</v>
      </c>
      <c r="E29" s="3">
        <v>106.92</v>
      </c>
      <c r="F29" s="3">
        <v>1</v>
      </c>
      <c r="J29" s="3">
        <v>13</v>
      </c>
      <c r="K29" s="3" t="s">
        <v>222</v>
      </c>
      <c r="L29" s="3">
        <v>0.25</v>
      </c>
      <c r="M29" s="3">
        <v>6.57</v>
      </c>
      <c r="N29" s="3">
        <v>6.65</v>
      </c>
      <c r="AE29" s="3">
        <v>2019</v>
      </c>
      <c r="AF29" s="3" t="s">
        <v>15</v>
      </c>
      <c r="AG29" s="3">
        <v>0</v>
      </c>
    </row>
    <row r="30" spans="2:47" x14ac:dyDescent="0.3">
      <c r="B30" s="3" t="s">
        <v>23</v>
      </c>
      <c r="C30" s="3">
        <v>1</v>
      </c>
      <c r="D30" s="3" t="s">
        <v>178</v>
      </c>
      <c r="E30" s="3">
        <v>45.54</v>
      </c>
      <c r="F30" s="3">
        <v>1</v>
      </c>
      <c r="J30" s="3">
        <v>14</v>
      </c>
      <c r="K30" s="3" t="s">
        <v>221</v>
      </c>
      <c r="L30" s="3">
        <v>0.25</v>
      </c>
      <c r="M30" s="3">
        <v>4</v>
      </c>
      <c r="N30" s="3">
        <v>3.96</v>
      </c>
      <c r="AE30" s="3">
        <v>2019</v>
      </c>
      <c r="AF30" s="3" t="s">
        <v>6</v>
      </c>
      <c r="AG30" s="3">
        <v>0</v>
      </c>
    </row>
    <row r="31" spans="2:47" x14ac:dyDescent="0.3">
      <c r="B31" s="3" t="s">
        <v>24</v>
      </c>
      <c r="C31" s="3">
        <v>1</v>
      </c>
      <c r="D31" s="3" t="s">
        <v>178</v>
      </c>
      <c r="E31" s="3">
        <v>59.4</v>
      </c>
      <c r="F31" s="3">
        <v>1</v>
      </c>
      <c r="J31" s="3">
        <v>14</v>
      </c>
      <c r="K31" s="3" t="s">
        <v>222</v>
      </c>
      <c r="L31" s="3">
        <v>0.32</v>
      </c>
      <c r="M31" s="3">
        <v>2.75</v>
      </c>
      <c r="N31" s="3">
        <v>2.72</v>
      </c>
      <c r="AE31" s="3">
        <v>2019</v>
      </c>
      <c r="AF31" s="3" t="s">
        <v>5</v>
      </c>
      <c r="AG31" s="3">
        <v>25</v>
      </c>
    </row>
    <row r="32" spans="2:47" x14ac:dyDescent="0.3">
      <c r="B32" s="3" t="s">
        <v>9</v>
      </c>
      <c r="C32" s="3">
        <v>1</v>
      </c>
      <c r="D32" s="3" t="s">
        <v>178</v>
      </c>
      <c r="E32" s="3">
        <v>164.34</v>
      </c>
      <c r="F32" s="3">
        <v>1</v>
      </c>
      <c r="J32" s="3">
        <v>15</v>
      </c>
      <c r="K32" s="3" t="s">
        <v>221</v>
      </c>
      <c r="L32" s="3">
        <v>0.42859999999999998</v>
      </c>
      <c r="M32" s="3">
        <v>9.67</v>
      </c>
      <c r="N32" s="3">
        <v>9.57</v>
      </c>
      <c r="AE32" s="3">
        <v>2019</v>
      </c>
      <c r="AF32" s="3" t="s">
        <v>27</v>
      </c>
      <c r="AG32" s="3">
        <v>0</v>
      </c>
    </row>
    <row r="33" spans="2:44" x14ac:dyDescent="0.3">
      <c r="J33" s="3">
        <v>15</v>
      </c>
      <c r="K33" s="3" t="s">
        <v>222</v>
      </c>
      <c r="L33" s="3">
        <v>0.19350000000000001</v>
      </c>
      <c r="M33" s="3">
        <v>6.33</v>
      </c>
      <c r="N33" s="3">
        <v>6.27</v>
      </c>
      <c r="AE33" s="3">
        <v>2019</v>
      </c>
      <c r="AF33" s="3" t="s">
        <v>10</v>
      </c>
      <c r="AG33" s="3">
        <v>0</v>
      </c>
    </row>
    <row r="34" spans="2:44" x14ac:dyDescent="0.3">
      <c r="J34" s="3">
        <v>16</v>
      </c>
      <c r="K34" s="3" t="s">
        <v>221</v>
      </c>
      <c r="L34" s="3">
        <v>2</v>
      </c>
      <c r="M34" s="3">
        <v>5.5</v>
      </c>
      <c r="N34" s="3">
        <v>5.45</v>
      </c>
      <c r="AE34" s="3">
        <v>2019</v>
      </c>
      <c r="AF34" s="3" t="s">
        <v>16</v>
      </c>
      <c r="AG34" s="3">
        <v>0</v>
      </c>
    </row>
    <row r="35" spans="2:44" x14ac:dyDescent="0.3">
      <c r="B35" s="1" t="s">
        <v>266</v>
      </c>
      <c r="C35" t="s">
        <v>272</v>
      </c>
      <c r="J35" s="3">
        <v>16</v>
      </c>
      <c r="K35" s="3" t="s">
        <v>222</v>
      </c>
      <c r="L35" s="3">
        <v>0.21429999999999999</v>
      </c>
      <c r="M35" s="3">
        <v>10.67</v>
      </c>
      <c r="N35" s="3">
        <v>10.56</v>
      </c>
      <c r="AE35" s="3">
        <v>2019</v>
      </c>
      <c r="AF35" s="3" t="s">
        <v>17</v>
      </c>
      <c r="AG35" s="3">
        <v>0</v>
      </c>
    </row>
    <row r="36" spans="2:44" x14ac:dyDescent="0.3">
      <c r="B36" s="2" t="s">
        <v>179</v>
      </c>
      <c r="C36">
        <v>16.829999999999998</v>
      </c>
      <c r="J36" s="3">
        <v>17</v>
      </c>
      <c r="K36" s="3" t="s">
        <v>221</v>
      </c>
      <c r="L36" s="3">
        <v>0.625</v>
      </c>
      <c r="M36" s="3">
        <v>8.4</v>
      </c>
      <c r="N36" s="3">
        <v>8.32</v>
      </c>
      <c r="AE36" s="3">
        <v>2019</v>
      </c>
      <c r="AF36" s="3" t="s">
        <v>7</v>
      </c>
      <c r="AG36" s="3">
        <v>66.67</v>
      </c>
      <c r="AQ36" s="3" t="s">
        <v>286</v>
      </c>
      <c r="AR36" s="3" t="s">
        <v>257</v>
      </c>
    </row>
    <row r="37" spans="2:44" x14ac:dyDescent="0.3">
      <c r="B37" s="4" t="s">
        <v>26</v>
      </c>
      <c r="C37">
        <v>16.829999999999998</v>
      </c>
      <c r="J37" s="3">
        <v>17</v>
      </c>
      <c r="K37" s="3" t="s">
        <v>222</v>
      </c>
      <c r="L37" s="3">
        <v>0.30430000000000001</v>
      </c>
      <c r="M37" s="3">
        <v>8.14</v>
      </c>
      <c r="N37" s="3">
        <v>8.06</v>
      </c>
      <c r="AE37" s="3">
        <v>2019</v>
      </c>
      <c r="AF37" s="3" t="s">
        <v>8</v>
      </c>
      <c r="AG37" s="3">
        <v>0</v>
      </c>
      <c r="AI37" s="6" t="s">
        <v>278</v>
      </c>
      <c r="AQ37" s="3" t="s">
        <v>253</v>
      </c>
      <c r="AR37" s="8">
        <v>85.14</v>
      </c>
    </row>
    <row r="38" spans="2:44" x14ac:dyDescent="0.3">
      <c r="B38" s="2" t="s">
        <v>178</v>
      </c>
      <c r="C38">
        <v>2038.4099999999999</v>
      </c>
      <c r="J38" s="3">
        <v>18</v>
      </c>
      <c r="K38" s="3" t="s">
        <v>221</v>
      </c>
      <c r="L38" s="3">
        <v>1.3332999999999999</v>
      </c>
      <c r="M38" s="3">
        <v>10</v>
      </c>
      <c r="N38" s="3">
        <v>9.9</v>
      </c>
      <c r="AE38" s="3">
        <v>2019</v>
      </c>
      <c r="AF38" s="3" t="s">
        <v>18</v>
      </c>
      <c r="AG38" s="3">
        <v>0</v>
      </c>
      <c r="AQ38" s="3" t="s">
        <v>256</v>
      </c>
      <c r="AR38" s="8">
        <v>75.016452000000001</v>
      </c>
    </row>
    <row r="39" spans="2:44" x14ac:dyDescent="0.3">
      <c r="B39" s="4" t="s">
        <v>25</v>
      </c>
      <c r="C39">
        <v>33.659999999999997</v>
      </c>
      <c r="J39" s="3">
        <v>18</v>
      </c>
      <c r="K39" s="3" t="s">
        <v>222</v>
      </c>
      <c r="L39" s="3">
        <v>0.16</v>
      </c>
      <c r="M39" s="3">
        <v>10</v>
      </c>
      <c r="N39" s="3">
        <v>9.9</v>
      </c>
      <c r="AE39" s="3">
        <v>2019</v>
      </c>
      <c r="AF39" s="3" t="s">
        <v>12</v>
      </c>
      <c r="AG39" s="3">
        <v>50</v>
      </c>
      <c r="AQ39" s="3" t="s">
        <v>260</v>
      </c>
      <c r="AR39" s="8">
        <v>83.287741999999994</v>
      </c>
    </row>
    <row r="40" spans="2:44" x14ac:dyDescent="0.3">
      <c r="B40" s="4" t="s">
        <v>14</v>
      </c>
      <c r="C40">
        <v>39.6</v>
      </c>
      <c r="J40" s="3">
        <v>19</v>
      </c>
      <c r="K40" s="3" t="s">
        <v>221</v>
      </c>
      <c r="L40" s="3">
        <v>0.55559999999999998</v>
      </c>
      <c r="M40" s="3">
        <v>7</v>
      </c>
      <c r="N40" s="3">
        <v>6.93</v>
      </c>
      <c r="AE40" s="3">
        <v>2019</v>
      </c>
      <c r="AF40" s="3" t="s">
        <v>19</v>
      </c>
      <c r="AG40" s="3">
        <v>100</v>
      </c>
      <c r="AQ40" s="3" t="s">
        <v>261</v>
      </c>
      <c r="AR40" s="8">
        <v>75.982500000000002</v>
      </c>
    </row>
    <row r="41" spans="2:44" x14ac:dyDescent="0.3">
      <c r="B41" s="4" t="s">
        <v>15</v>
      </c>
      <c r="C41">
        <v>25.74</v>
      </c>
      <c r="J41" s="3">
        <v>19</v>
      </c>
      <c r="K41" s="3" t="s">
        <v>222</v>
      </c>
      <c r="L41" s="3">
        <v>0.1739</v>
      </c>
      <c r="M41" s="3">
        <v>5</v>
      </c>
      <c r="N41" s="3">
        <v>4.95</v>
      </c>
      <c r="AE41" s="3">
        <v>2019</v>
      </c>
      <c r="AF41" s="3" t="s">
        <v>20</v>
      </c>
      <c r="AG41" s="3">
        <v>0</v>
      </c>
    </row>
    <row r="42" spans="2:44" x14ac:dyDescent="0.3">
      <c r="B42" s="4" t="s">
        <v>6</v>
      </c>
      <c r="C42">
        <v>202.95</v>
      </c>
      <c r="J42" s="3">
        <v>20</v>
      </c>
      <c r="K42" s="3" t="s">
        <v>221</v>
      </c>
      <c r="L42" s="3">
        <v>0.25</v>
      </c>
      <c r="M42" s="3">
        <v>7</v>
      </c>
      <c r="N42" s="3">
        <v>6.93</v>
      </c>
      <c r="AE42" s="3">
        <v>2019</v>
      </c>
      <c r="AF42" s="3" t="s">
        <v>21</v>
      </c>
      <c r="AG42" s="3">
        <v>0</v>
      </c>
    </row>
    <row r="43" spans="2:44" x14ac:dyDescent="0.3">
      <c r="B43" s="4" t="s">
        <v>5</v>
      </c>
      <c r="C43">
        <v>329.67</v>
      </c>
      <c r="J43" s="3">
        <v>20</v>
      </c>
      <c r="K43" s="3" t="s">
        <v>222</v>
      </c>
      <c r="L43" s="3">
        <v>0.26469999999999999</v>
      </c>
      <c r="M43" s="3">
        <v>8.33</v>
      </c>
      <c r="N43" s="3">
        <v>8.25</v>
      </c>
      <c r="AE43" s="3">
        <v>2019</v>
      </c>
      <c r="AF43" s="3" t="s">
        <v>13</v>
      </c>
      <c r="AG43" s="3">
        <v>100</v>
      </c>
    </row>
    <row r="44" spans="2:44" x14ac:dyDescent="0.3">
      <c r="B44" s="4" t="s">
        <v>27</v>
      </c>
      <c r="C44">
        <v>60.39</v>
      </c>
      <c r="J44" s="3">
        <v>21</v>
      </c>
      <c r="K44" s="3" t="s">
        <v>221</v>
      </c>
      <c r="L44" s="3">
        <v>0.45450000000000002</v>
      </c>
      <c r="M44" s="3">
        <v>7.6</v>
      </c>
      <c r="N44" s="3">
        <v>7.52</v>
      </c>
      <c r="AE44" s="3">
        <v>2019</v>
      </c>
      <c r="AF44" s="3" t="s">
        <v>22</v>
      </c>
      <c r="AG44" s="3">
        <v>0</v>
      </c>
    </row>
    <row r="45" spans="2:44" x14ac:dyDescent="0.3">
      <c r="B45" s="4" t="s">
        <v>10</v>
      </c>
      <c r="C45">
        <v>141.57</v>
      </c>
      <c r="J45" s="3">
        <v>21</v>
      </c>
      <c r="K45" s="3" t="s">
        <v>222</v>
      </c>
      <c r="L45" s="3">
        <v>0.2727</v>
      </c>
      <c r="M45" s="3">
        <v>9</v>
      </c>
      <c r="N45" s="3">
        <v>8.91</v>
      </c>
      <c r="AE45" s="3">
        <v>2019</v>
      </c>
      <c r="AF45" s="3" t="s">
        <v>11</v>
      </c>
      <c r="AG45" s="3">
        <v>0</v>
      </c>
    </row>
    <row r="46" spans="2:44" x14ac:dyDescent="0.3">
      <c r="B46" s="4" t="s">
        <v>16</v>
      </c>
      <c r="C46">
        <v>23.76</v>
      </c>
      <c r="J46" s="3">
        <v>22</v>
      </c>
      <c r="K46" s="3" t="s">
        <v>221</v>
      </c>
      <c r="L46" s="3">
        <v>0.44440000000000002</v>
      </c>
      <c r="M46" s="3">
        <v>6.25</v>
      </c>
      <c r="N46" s="3">
        <v>6.19</v>
      </c>
      <c r="X46" s="1" t="s">
        <v>276</v>
      </c>
      <c r="Y46" s="1" t="s">
        <v>268</v>
      </c>
      <c r="AE46" s="3">
        <v>2019</v>
      </c>
      <c r="AF46" s="3" t="s">
        <v>24</v>
      </c>
      <c r="AG46" s="3">
        <v>100</v>
      </c>
    </row>
    <row r="47" spans="2:44" x14ac:dyDescent="0.3">
      <c r="B47" s="4" t="s">
        <v>17</v>
      </c>
      <c r="C47">
        <v>45.54</v>
      </c>
      <c r="J47" s="3">
        <v>22</v>
      </c>
      <c r="K47" s="3" t="s">
        <v>222</v>
      </c>
      <c r="L47" s="3">
        <v>0.30769999999999997</v>
      </c>
      <c r="M47" s="3">
        <v>8.5</v>
      </c>
      <c r="N47" s="3">
        <v>8.42</v>
      </c>
      <c r="X47" s="1" t="s">
        <v>266</v>
      </c>
      <c r="Y47">
        <v>2018</v>
      </c>
      <c r="Z47">
        <v>2019</v>
      </c>
      <c r="AA47">
        <v>2020</v>
      </c>
      <c r="AE47" s="3">
        <v>2019</v>
      </c>
      <c r="AF47" s="3" t="s">
        <v>9</v>
      </c>
      <c r="AG47" s="3">
        <v>50</v>
      </c>
    </row>
    <row r="48" spans="2:44" x14ac:dyDescent="0.3">
      <c r="B48" s="4" t="s">
        <v>7</v>
      </c>
      <c r="C48">
        <v>207.9</v>
      </c>
      <c r="J48" s="3">
        <v>23</v>
      </c>
      <c r="K48" s="3" t="s">
        <v>221</v>
      </c>
      <c r="L48" s="3">
        <v>0.22220000000000001</v>
      </c>
      <c r="M48" s="3">
        <v>8</v>
      </c>
      <c r="N48" s="3">
        <v>7.92</v>
      </c>
      <c r="X48" s="2" t="s">
        <v>26</v>
      </c>
      <c r="Z48">
        <v>0</v>
      </c>
      <c r="AA48">
        <v>100</v>
      </c>
      <c r="AE48" s="3">
        <v>2019</v>
      </c>
      <c r="AF48" s="3" t="s">
        <v>4</v>
      </c>
      <c r="AG48" s="3">
        <v>27.27</v>
      </c>
    </row>
    <row r="49" spans="2:33" x14ac:dyDescent="0.3">
      <c r="B49" s="4" t="s">
        <v>8</v>
      </c>
      <c r="C49">
        <v>192.06</v>
      </c>
      <c r="J49" s="3">
        <v>23</v>
      </c>
      <c r="K49" s="3" t="s">
        <v>222</v>
      </c>
      <c r="L49" s="3">
        <v>0.32</v>
      </c>
      <c r="M49" s="3">
        <v>6.38</v>
      </c>
      <c r="N49" s="3">
        <v>6.31</v>
      </c>
      <c r="X49" s="2" t="s">
        <v>25</v>
      </c>
      <c r="Y49">
        <v>100</v>
      </c>
      <c r="AE49" s="3">
        <v>2020</v>
      </c>
      <c r="AF49" s="3" t="s">
        <v>26</v>
      </c>
      <c r="AG49" s="3">
        <v>100</v>
      </c>
    </row>
    <row r="50" spans="2:33" x14ac:dyDescent="0.3">
      <c r="B50" s="4" t="s">
        <v>18</v>
      </c>
      <c r="C50">
        <v>43.56</v>
      </c>
      <c r="J50" s="3">
        <v>24</v>
      </c>
      <c r="K50" s="3" t="s">
        <v>221</v>
      </c>
      <c r="L50" s="3">
        <v>0.16669999999999999</v>
      </c>
      <c r="M50" s="3">
        <v>6.5</v>
      </c>
      <c r="N50" s="3">
        <v>6.44</v>
      </c>
      <c r="X50" s="2" t="s">
        <v>14</v>
      </c>
      <c r="Y50">
        <v>0</v>
      </c>
      <c r="Z50">
        <v>0</v>
      </c>
      <c r="AA50">
        <v>0</v>
      </c>
      <c r="AE50" s="3">
        <v>2020</v>
      </c>
      <c r="AF50" s="3" t="s">
        <v>14</v>
      </c>
      <c r="AG50" s="3">
        <v>0</v>
      </c>
    </row>
    <row r="51" spans="2:33" x14ac:dyDescent="0.3">
      <c r="B51" s="4" t="s">
        <v>12</v>
      </c>
      <c r="C51">
        <v>100.98</v>
      </c>
      <c r="J51" s="3">
        <v>24</v>
      </c>
      <c r="K51" s="3" t="s">
        <v>222</v>
      </c>
      <c r="L51" s="3">
        <v>0.1875</v>
      </c>
      <c r="M51" s="3">
        <v>9.83</v>
      </c>
      <c r="N51" s="3">
        <v>9.74</v>
      </c>
      <c r="X51" s="2" t="s">
        <v>15</v>
      </c>
      <c r="Y51">
        <v>0</v>
      </c>
      <c r="Z51">
        <v>0</v>
      </c>
      <c r="AA51">
        <v>100</v>
      </c>
      <c r="AE51" s="3">
        <v>2020</v>
      </c>
      <c r="AF51" s="3" t="s">
        <v>15</v>
      </c>
      <c r="AG51" s="3">
        <v>100</v>
      </c>
    </row>
    <row r="52" spans="2:33" x14ac:dyDescent="0.3">
      <c r="B52" s="4" t="s">
        <v>19</v>
      </c>
      <c r="C52">
        <v>70.290000000000006</v>
      </c>
      <c r="J52" s="3">
        <v>25</v>
      </c>
      <c r="K52" s="3" t="s">
        <v>221</v>
      </c>
      <c r="L52" s="3">
        <v>0.2</v>
      </c>
      <c r="M52" s="3">
        <v>3</v>
      </c>
      <c r="N52" s="3">
        <v>2.97</v>
      </c>
      <c r="X52" s="2" t="s">
        <v>6</v>
      </c>
      <c r="Y52">
        <v>0</v>
      </c>
      <c r="Z52">
        <v>0</v>
      </c>
      <c r="AA52">
        <v>0</v>
      </c>
      <c r="AE52" s="3">
        <v>2020</v>
      </c>
      <c r="AF52" s="3" t="s">
        <v>6</v>
      </c>
      <c r="AG52" s="3">
        <v>0</v>
      </c>
    </row>
    <row r="53" spans="2:33" x14ac:dyDescent="0.3">
      <c r="B53" s="4" t="s">
        <v>20</v>
      </c>
      <c r="C53">
        <v>34.65</v>
      </c>
      <c r="J53" s="3">
        <v>25</v>
      </c>
      <c r="K53" s="3" t="s">
        <v>222</v>
      </c>
      <c r="L53" s="3">
        <v>0.2424</v>
      </c>
      <c r="M53" s="3">
        <v>8.8800000000000008</v>
      </c>
      <c r="N53" s="3">
        <v>8.7899999999999991</v>
      </c>
      <c r="X53" s="2" t="s">
        <v>5</v>
      </c>
      <c r="Y53">
        <v>50</v>
      </c>
      <c r="Z53">
        <v>25</v>
      </c>
      <c r="AA53">
        <v>0</v>
      </c>
      <c r="AE53" s="3">
        <v>2020</v>
      </c>
      <c r="AF53" s="3" t="s">
        <v>5</v>
      </c>
      <c r="AG53" s="3">
        <v>0</v>
      </c>
    </row>
    <row r="54" spans="2:33" x14ac:dyDescent="0.3">
      <c r="B54" s="4" t="s">
        <v>21</v>
      </c>
      <c r="C54">
        <v>31.68</v>
      </c>
      <c r="J54" s="3">
        <v>26</v>
      </c>
      <c r="K54" s="3" t="s">
        <v>221</v>
      </c>
      <c r="L54" s="3">
        <v>0.25</v>
      </c>
      <c r="M54" s="3">
        <v>7.33</v>
      </c>
      <c r="N54" s="3">
        <v>7.26</v>
      </c>
      <c r="X54" s="2" t="s">
        <v>27</v>
      </c>
      <c r="Y54">
        <v>0</v>
      </c>
      <c r="Z54">
        <v>0</v>
      </c>
      <c r="AA54">
        <v>0</v>
      </c>
      <c r="AE54" s="3">
        <v>2020</v>
      </c>
      <c r="AF54" s="3" t="s">
        <v>27</v>
      </c>
      <c r="AG54" s="3">
        <v>0</v>
      </c>
    </row>
    <row r="55" spans="2:33" x14ac:dyDescent="0.3">
      <c r="B55" s="4" t="s">
        <v>13</v>
      </c>
      <c r="C55">
        <v>39.6</v>
      </c>
      <c r="J55" s="3">
        <v>26</v>
      </c>
      <c r="K55" s="3" t="s">
        <v>222</v>
      </c>
      <c r="L55" s="3">
        <v>0.32140000000000002</v>
      </c>
      <c r="M55" s="3">
        <v>7.22</v>
      </c>
      <c r="N55" s="3">
        <v>7.15</v>
      </c>
      <c r="X55" s="2" t="s">
        <v>10</v>
      </c>
      <c r="Y55">
        <v>0</v>
      </c>
      <c r="Z55">
        <v>0</v>
      </c>
      <c r="AA55">
        <v>0</v>
      </c>
      <c r="AE55" s="3">
        <v>2020</v>
      </c>
      <c r="AF55" s="3" t="s">
        <v>10</v>
      </c>
      <c r="AG55" s="3">
        <v>0</v>
      </c>
    </row>
    <row r="56" spans="2:33" x14ac:dyDescent="0.3">
      <c r="B56" s="4" t="s">
        <v>22</v>
      </c>
      <c r="C56">
        <v>38.61</v>
      </c>
      <c r="J56" s="3">
        <v>27</v>
      </c>
      <c r="K56" s="3" t="s">
        <v>221</v>
      </c>
      <c r="L56" s="3">
        <v>1</v>
      </c>
      <c r="M56" s="3">
        <v>17</v>
      </c>
      <c r="N56" s="3">
        <v>16.829999999999998</v>
      </c>
      <c r="X56" s="2" t="s">
        <v>16</v>
      </c>
      <c r="Y56">
        <v>0</v>
      </c>
      <c r="Z56">
        <v>0</v>
      </c>
      <c r="AA56">
        <v>0</v>
      </c>
      <c r="AE56" s="3">
        <v>2020</v>
      </c>
      <c r="AF56" s="3" t="s">
        <v>16</v>
      </c>
      <c r="AG56" s="3">
        <v>0</v>
      </c>
    </row>
    <row r="57" spans="2:33" x14ac:dyDescent="0.3">
      <c r="B57" s="4" t="s">
        <v>11</v>
      </c>
      <c r="C57">
        <v>106.92</v>
      </c>
      <c r="J57" s="3">
        <v>27</v>
      </c>
      <c r="K57" s="3" t="s">
        <v>222</v>
      </c>
      <c r="L57" s="3">
        <v>0.25</v>
      </c>
      <c r="M57" s="3">
        <v>8.5</v>
      </c>
      <c r="N57" s="3">
        <v>8.42</v>
      </c>
      <c r="X57" s="2" t="s">
        <v>17</v>
      </c>
      <c r="Y57">
        <v>0</v>
      </c>
      <c r="Z57">
        <v>0</v>
      </c>
      <c r="AA57">
        <v>0</v>
      </c>
      <c r="AE57" s="3">
        <v>2020</v>
      </c>
      <c r="AF57" s="3" t="s">
        <v>17</v>
      </c>
      <c r="AG57" s="3">
        <v>0</v>
      </c>
    </row>
    <row r="58" spans="2:33" x14ac:dyDescent="0.3">
      <c r="B58" s="4" t="s">
        <v>23</v>
      </c>
      <c r="C58">
        <v>45.54</v>
      </c>
      <c r="J58" s="3">
        <v>28</v>
      </c>
      <c r="K58" s="3" t="s">
        <v>221</v>
      </c>
      <c r="L58" s="3">
        <v>0.5</v>
      </c>
      <c r="M58" s="3">
        <v>5</v>
      </c>
      <c r="N58" s="3">
        <v>4.95</v>
      </c>
      <c r="X58" s="2" t="s">
        <v>7</v>
      </c>
      <c r="Y58">
        <v>50</v>
      </c>
      <c r="Z58">
        <v>66.67</v>
      </c>
      <c r="AA58">
        <v>0</v>
      </c>
      <c r="AE58" s="3">
        <v>2020</v>
      </c>
      <c r="AF58" s="3" t="s">
        <v>7</v>
      </c>
      <c r="AG58" s="3">
        <v>0</v>
      </c>
    </row>
    <row r="59" spans="2:33" x14ac:dyDescent="0.3">
      <c r="B59" s="4" t="s">
        <v>24</v>
      </c>
      <c r="C59">
        <v>59.4</v>
      </c>
      <c r="J59" s="3">
        <v>28</v>
      </c>
      <c r="K59" s="3" t="s">
        <v>222</v>
      </c>
      <c r="L59" s="3">
        <v>0.31819999999999998</v>
      </c>
      <c r="M59" s="3">
        <v>8.14</v>
      </c>
      <c r="N59" s="3">
        <v>8.1999999999999993</v>
      </c>
      <c r="X59" s="2" t="s">
        <v>8</v>
      </c>
      <c r="Y59">
        <v>0</v>
      </c>
      <c r="Z59">
        <v>0</v>
      </c>
      <c r="AA59">
        <v>25</v>
      </c>
      <c r="AE59" s="3">
        <v>2020</v>
      </c>
      <c r="AF59" s="3" t="s">
        <v>8</v>
      </c>
      <c r="AG59" s="3">
        <v>25</v>
      </c>
    </row>
    <row r="60" spans="2:33" x14ac:dyDescent="0.3">
      <c r="B60" s="4" t="s">
        <v>9</v>
      </c>
      <c r="C60">
        <v>164.34</v>
      </c>
      <c r="J60" s="3">
        <v>29</v>
      </c>
      <c r="K60" s="3" t="s">
        <v>221</v>
      </c>
      <c r="L60" s="3">
        <v>1</v>
      </c>
      <c r="M60" s="3">
        <v>6</v>
      </c>
      <c r="N60" s="3">
        <v>5.94</v>
      </c>
      <c r="X60" s="2" t="s">
        <v>18</v>
      </c>
      <c r="Y60">
        <v>0</v>
      </c>
      <c r="Z60">
        <v>0</v>
      </c>
      <c r="AA60">
        <v>100</v>
      </c>
      <c r="AE60" s="3">
        <v>2020</v>
      </c>
      <c r="AF60" s="3" t="s">
        <v>18</v>
      </c>
      <c r="AG60" s="3">
        <v>100</v>
      </c>
    </row>
    <row r="61" spans="2:33" x14ac:dyDescent="0.3">
      <c r="B61" s="2" t="s">
        <v>267</v>
      </c>
      <c r="C61">
        <v>2055.2400000000002</v>
      </c>
      <c r="J61" s="3">
        <v>29</v>
      </c>
      <c r="K61" s="3" t="s">
        <v>222</v>
      </c>
      <c r="L61" s="3">
        <v>0.1429</v>
      </c>
      <c r="M61" s="3">
        <v>11.67</v>
      </c>
      <c r="N61" s="3">
        <v>11.55</v>
      </c>
      <c r="X61" s="2" t="s">
        <v>12</v>
      </c>
      <c r="Y61">
        <v>0</v>
      </c>
      <c r="Z61">
        <v>50</v>
      </c>
      <c r="AA61">
        <v>0</v>
      </c>
      <c r="AE61" s="3">
        <v>2020</v>
      </c>
      <c r="AF61" s="3" t="s">
        <v>12</v>
      </c>
      <c r="AG61" s="3">
        <v>0</v>
      </c>
    </row>
    <row r="62" spans="2:33" x14ac:dyDescent="0.3">
      <c r="J62" s="3">
        <v>30</v>
      </c>
      <c r="K62" s="3" t="s">
        <v>221</v>
      </c>
      <c r="L62" s="3">
        <v>0.5</v>
      </c>
      <c r="M62" s="3">
        <v>9</v>
      </c>
      <c r="N62" s="3">
        <v>8.91</v>
      </c>
      <c r="X62" s="2" t="s">
        <v>19</v>
      </c>
      <c r="Y62">
        <v>0</v>
      </c>
      <c r="Z62">
        <v>100</v>
      </c>
      <c r="AE62" s="3">
        <v>2020</v>
      </c>
      <c r="AF62" s="3" t="s">
        <v>20</v>
      </c>
      <c r="AG62" s="3">
        <v>0</v>
      </c>
    </row>
    <row r="63" spans="2:33" x14ac:dyDescent="0.3">
      <c r="J63" s="3">
        <v>30</v>
      </c>
      <c r="K63" s="3" t="s">
        <v>222</v>
      </c>
      <c r="L63" s="3">
        <v>0.39129999999999998</v>
      </c>
      <c r="M63" s="3">
        <v>6.22</v>
      </c>
      <c r="N63" s="3">
        <v>6.16</v>
      </c>
      <c r="X63" s="2" t="s">
        <v>20</v>
      </c>
      <c r="Y63">
        <v>0</v>
      </c>
      <c r="Z63">
        <v>0</v>
      </c>
      <c r="AA63">
        <v>0</v>
      </c>
      <c r="AE63" s="3">
        <v>2020</v>
      </c>
      <c r="AF63" s="3" t="s">
        <v>21</v>
      </c>
      <c r="AG63" s="3">
        <v>0</v>
      </c>
    </row>
    <row r="64" spans="2:33" x14ac:dyDescent="0.3">
      <c r="J64" s="3">
        <v>31</v>
      </c>
      <c r="K64" s="3" t="s">
        <v>221</v>
      </c>
      <c r="L64" s="3">
        <v>0.75</v>
      </c>
      <c r="M64" s="3">
        <v>4</v>
      </c>
      <c r="N64" s="3">
        <v>3.96</v>
      </c>
      <c r="X64" s="2" t="s">
        <v>21</v>
      </c>
      <c r="Y64">
        <v>0</v>
      </c>
      <c r="Z64">
        <v>0</v>
      </c>
      <c r="AA64">
        <v>0</v>
      </c>
      <c r="AE64" s="3">
        <v>2020</v>
      </c>
      <c r="AF64" s="3" t="s">
        <v>22</v>
      </c>
      <c r="AG64" s="3">
        <v>0</v>
      </c>
    </row>
    <row r="65" spans="1:33" x14ac:dyDescent="0.3">
      <c r="A65" s="6" t="s">
        <v>1</v>
      </c>
      <c r="B65" s="1" t="s">
        <v>266</v>
      </c>
      <c r="C65" t="s">
        <v>273</v>
      </c>
      <c r="D65" t="s">
        <v>274</v>
      </c>
      <c r="E65" t="s">
        <v>275</v>
      </c>
      <c r="J65" s="3">
        <v>31</v>
      </c>
      <c r="K65" s="3" t="s">
        <v>222</v>
      </c>
      <c r="L65" s="3">
        <v>0.3125</v>
      </c>
      <c r="M65" s="3">
        <v>7.8</v>
      </c>
      <c r="N65" s="3">
        <v>7.72</v>
      </c>
      <c r="X65" s="2" t="s">
        <v>13</v>
      </c>
      <c r="Y65">
        <v>0</v>
      </c>
      <c r="Z65">
        <v>100</v>
      </c>
      <c r="AE65" s="3">
        <v>2020</v>
      </c>
      <c r="AF65" s="3" t="s">
        <v>11</v>
      </c>
      <c r="AG65" s="3">
        <v>0</v>
      </c>
    </row>
    <row r="66" spans="1:33" x14ac:dyDescent="0.3">
      <c r="B66" s="2" t="s">
        <v>221</v>
      </c>
      <c r="C66" s="5">
        <v>0.51019322033898307</v>
      </c>
      <c r="D66" s="5">
        <v>7.9998305084745756</v>
      </c>
      <c r="E66" s="5">
        <v>7.9347457627118647</v>
      </c>
      <c r="J66" s="3">
        <v>32</v>
      </c>
      <c r="K66" s="3" t="s">
        <v>221</v>
      </c>
      <c r="L66" s="3">
        <v>0.75</v>
      </c>
      <c r="M66" s="3">
        <v>11.67</v>
      </c>
      <c r="N66" s="3">
        <v>11.55</v>
      </c>
      <c r="X66" s="2" t="s">
        <v>22</v>
      </c>
      <c r="Y66">
        <v>0</v>
      </c>
      <c r="Z66">
        <v>0</v>
      </c>
      <c r="AA66">
        <v>0</v>
      </c>
      <c r="AE66" s="3">
        <v>2020</v>
      </c>
      <c r="AF66" s="3" t="s">
        <v>9</v>
      </c>
      <c r="AG66" s="3">
        <v>0</v>
      </c>
    </row>
    <row r="67" spans="1:33" x14ac:dyDescent="0.3">
      <c r="B67" s="2" t="s">
        <v>222</v>
      </c>
      <c r="C67" s="5">
        <v>0.29195423728813552</v>
      </c>
      <c r="D67" s="5">
        <v>7.7654237288135608</v>
      </c>
      <c r="E67" s="5">
        <v>7.7089830508474568</v>
      </c>
      <c r="J67" s="3">
        <v>32</v>
      </c>
      <c r="K67" s="3" t="s">
        <v>222</v>
      </c>
      <c r="L67" s="3">
        <v>0.35709999999999997</v>
      </c>
      <c r="M67" s="3">
        <v>7.2</v>
      </c>
      <c r="N67" s="3">
        <v>7.13</v>
      </c>
      <c r="X67" s="2" t="s">
        <v>11</v>
      </c>
      <c r="Y67">
        <v>0</v>
      </c>
      <c r="Z67">
        <v>0</v>
      </c>
      <c r="AA67">
        <v>0</v>
      </c>
      <c r="AE67" s="3">
        <v>2020</v>
      </c>
      <c r="AF67" s="3" t="s">
        <v>4</v>
      </c>
      <c r="AG67" s="3">
        <v>25</v>
      </c>
    </row>
    <row r="68" spans="1:33" x14ac:dyDescent="0.3">
      <c r="J68" s="3">
        <v>33</v>
      </c>
      <c r="K68" s="3" t="s">
        <v>221</v>
      </c>
      <c r="L68" s="3">
        <v>0.58330000000000004</v>
      </c>
      <c r="M68" s="3">
        <v>6</v>
      </c>
      <c r="N68" s="3">
        <v>5.94</v>
      </c>
      <c r="X68" s="2" t="s">
        <v>23</v>
      </c>
      <c r="Y68">
        <v>100</v>
      </c>
    </row>
    <row r="69" spans="1:33" x14ac:dyDescent="0.3">
      <c r="J69" s="3">
        <v>33</v>
      </c>
      <c r="K69" s="3" t="s">
        <v>222</v>
      </c>
      <c r="L69" s="3">
        <v>0.2</v>
      </c>
      <c r="M69" s="3">
        <v>6.8</v>
      </c>
      <c r="N69" s="3">
        <v>6.73</v>
      </c>
      <c r="X69" s="2" t="s">
        <v>24</v>
      </c>
      <c r="Y69">
        <v>0</v>
      </c>
      <c r="Z69">
        <v>100</v>
      </c>
    </row>
    <row r="70" spans="1:33" x14ac:dyDescent="0.3">
      <c r="J70" s="3">
        <v>34</v>
      </c>
      <c r="K70" s="3" t="s">
        <v>221</v>
      </c>
      <c r="L70" s="3">
        <v>0.33329999999999999</v>
      </c>
      <c r="M70" s="3">
        <v>8</v>
      </c>
      <c r="N70" s="3">
        <v>7.92</v>
      </c>
      <c r="X70" s="2" t="s">
        <v>9</v>
      </c>
      <c r="Y70">
        <v>33.33</v>
      </c>
      <c r="Z70">
        <v>50</v>
      </c>
      <c r="AA70">
        <v>0</v>
      </c>
    </row>
    <row r="71" spans="1:33" x14ac:dyDescent="0.3">
      <c r="J71" s="3">
        <v>34</v>
      </c>
      <c r="K71" s="3" t="s">
        <v>222</v>
      </c>
      <c r="L71" s="3">
        <v>0.3125</v>
      </c>
      <c r="M71" s="3">
        <v>7.9</v>
      </c>
      <c r="N71" s="3">
        <v>7.92</v>
      </c>
      <c r="X71" s="2" t="s">
        <v>4</v>
      </c>
      <c r="Y71">
        <v>15.38</v>
      </c>
      <c r="Z71">
        <v>27.27</v>
      </c>
      <c r="AA71">
        <v>25</v>
      </c>
    </row>
    <row r="72" spans="1:33" x14ac:dyDescent="0.3">
      <c r="J72" s="3">
        <v>35</v>
      </c>
      <c r="K72" s="3" t="s">
        <v>221</v>
      </c>
      <c r="L72" s="3">
        <v>0.54549999999999998</v>
      </c>
      <c r="M72" s="3">
        <v>5.83</v>
      </c>
      <c r="N72" s="3">
        <v>5.78</v>
      </c>
    </row>
    <row r="73" spans="1:33" x14ac:dyDescent="0.3">
      <c r="J73" s="3">
        <v>35</v>
      </c>
      <c r="K73" s="3" t="s">
        <v>222</v>
      </c>
      <c r="L73" s="3">
        <v>0.3125</v>
      </c>
      <c r="M73" s="3">
        <v>4.8</v>
      </c>
      <c r="N73" s="3">
        <v>4.75</v>
      </c>
    </row>
    <row r="74" spans="1:33" x14ac:dyDescent="0.3">
      <c r="J74" s="3">
        <v>36</v>
      </c>
      <c r="K74" s="3" t="s">
        <v>221</v>
      </c>
      <c r="L74" s="3">
        <v>0.75</v>
      </c>
      <c r="M74" s="3">
        <v>11</v>
      </c>
      <c r="N74" s="3">
        <v>10.89</v>
      </c>
    </row>
    <row r="75" spans="1:33" x14ac:dyDescent="0.3">
      <c r="J75" s="3">
        <v>36</v>
      </c>
      <c r="K75" s="3" t="s">
        <v>222</v>
      </c>
      <c r="L75" s="3">
        <v>0.3478</v>
      </c>
      <c r="M75" s="3">
        <v>6.63</v>
      </c>
      <c r="N75" s="3">
        <v>6.56</v>
      </c>
    </row>
    <row r="76" spans="1:33" x14ac:dyDescent="0.3">
      <c r="J76" s="3">
        <v>37</v>
      </c>
      <c r="K76" s="3" t="s">
        <v>221</v>
      </c>
      <c r="L76" s="3">
        <v>0.16669999999999999</v>
      </c>
      <c r="M76" s="3">
        <v>10</v>
      </c>
      <c r="N76" s="3">
        <v>9.9</v>
      </c>
    </row>
    <row r="77" spans="1:33" x14ac:dyDescent="0.3">
      <c r="J77" s="3">
        <v>37</v>
      </c>
      <c r="K77" s="3" t="s">
        <v>222</v>
      </c>
      <c r="L77" s="3">
        <v>0.32</v>
      </c>
      <c r="M77" s="3">
        <v>9.25</v>
      </c>
      <c r="N77" s="3">
        <v>9.2799999999999994</v>
      </c>
    </row>
    <row r="78" spans="1:33" x14ac:dyDescent="0.3">
      <c r="J78" s="3">
        <v>38</v>
      </c>
      <c r="K78" s="3" t="s">
        <v>221</v>
      </c>
      <c r="L78" s="3">
        <v>0.5</v>
      </c>
      <c r="M78" s="3">
        <v>11</v>
      </c>
      <c r="N78" s="3">
        <v>10.89</v>
      </c>
    </row>
    <row r="79" spans="1:33" x14ac:dyDescent="0.3">
      <c r="J79" s="3">
        <v>38</v>
      </c>
      <c r="K79" s="3" t="s">
        <v>222</v>
      </c>
      <c r="L79" s="3">
        <v>0.26919999999999999</v>
      </c>
      <c r="M79" s="3">
        <v>7.43</v>
      </c>
      <c r="N79" s="3">
        <v>7.35</v>
      </c>
    </row>
    <row r="80" spans="1:33" x14ac:dyDescent="0.3">
      <c r="J80" s="3">
        <v>39</v>
      </c>
      <c r="K80" s="3" t="s">
        <v>221</v>
      </c>
      <c r="L80" s="3">
        <v>0.5</v>
      </c>
      <c r="M80" s="3">
        <v>9</v>
      </c>
      <c r="N80" s="3">
        <v>8.91</v>
      </c>
    </row>
    <row r="81" spans="10:14" x14ac:dyDescent="0.3">
      <c r="J81" s="3">
        <v>39</v>
      </c>
      <c r="K81" s="3" t="s">
        <v>222</v>
      </c>
      <c r="L81" s="3">
        <v>0.1154</v>
      </c>
      <c r="M81" s="3">
        <v>8.67</v>
      </c>
      <c r="N81" s="3">
        <v>8.58</v>
      </c>
    </row>
    <row r="82" spans="10:14" x14ac:dyDescent="0.3">
      <c r="J82" s="3">
        <v>40</v>
      </c>
      <c r="K82" s="3" t="s">
        <v>221</v>
      </c>
      <c r="L82" s="3">
        <v>0.4</v>
      </c>
      <c r="M82" s="3">
        <v>7.5</v>
      </c>
      <c r="N82" s="3">
        <v>7.43</v>
      </c>
    </row>
    <row r="83" spans="10:14" x14ac:dyDescent="0.3">
      <c r="J83" s="3">
        <v>40</v>
      </c>
      <c r="K83" s="3" t="s">
        <v>222</v>
      </c>
      <c r="L83" s="3">
        <v>0.30430000000000001</v>
      </c>
      <c r="M83" s="3">
        <v>8.2899999999999991</v>
      </c>
      <c r="N83" s="3">
        <v>8.1999999999999993</v>
      </c>
    </row>
    <row r="84" spans="10:14" x14ac:dyDescent="0.3">
      <c r="J84" s="3">
        <v>41</v>
      </c>
      <c r="K84" s="3" t="s">
        <v>221</v>
      </c>
      <c r="L84" s="3">
        <v>0.44440000000000002</v>
      </c>
      <c r="M84" s="3">
        <v>6</v>
      </c>
      <c r="N84" s="3">
        <v>5.94</v>
      </c>
    </row>
    <row r="85" spans="10:14" x14ac:dyDescent="0.3">
      <c r="J85" s="3">
        <v>41</v>
      </c>
      <c r="K85" s="3" t="s">
        <v>222</v>
      </c>
      <c r="L85" s="3">
        <v>0.625</v>
      </c>
      <c r="M85" s="3">
        <v>8.1999999999999993</v>
      </c>
      <c r="N85" s="3">
        <v>8.1199999999999992</v>
      </c>
    </row>
    <row r="86" spans="10:14" x14ac:dyDescent="0.3">
      <c r="J86" s="3">
        <v>42</v>
      </c>
      <c r="K86" s="3" t="s">
        <v>221</v>
      </c>
      <c r="L86" s="3">
        <v>0.2727</v>
      </c>
      <c r="M86" s="3">
        <v>7.67</v>
      </c>
      <c r="N86" s="3">
        <v>7.59</v>
      </c>
    </row>
    <row r="87" spans="10:14" x14ac:dyDescent="0.3">
      <c r="J87" s="3">
        <v>42</v>
      </c>
      <c r="K87" s="3" t="s">
        <v>222</v>
      </c>
      <c r="L87" s="3">
        <v>0.23530000000000001</v>
      </c>
      <c r="M87" s="3">
        <v>9.75</v>
      </c>
      <c r="N87" s="3">
        <v>9.65</v>
      </c>
    </row>
    <row r="88" spans="10:14" x14ac:dyDescent="0.3">
      <c r="J88" s="3">
        <v>43</v>
      </c>
      <c r="K88" s="3" t="s">
        <v>221</v>
      </c>
      <c r="L88" s="3">
        <v>0.66669999999999996</v>
      </c>
      <c r="M88" s="3">
        <v>6</v>
      </c>
      <c r="N88" s="3">
        <v>6.44</v>
      </c>
    </row>
    <row r="89" spans="10:14" x14ac:dyDescent="0.3">
      <c r="J89" s="3">
        <v>43</v>
      </c>
      <c r="K89" s="3" t="s">
        <v>222</v>
      </c>
      <c r="L89" s="3">
        <v>0.47620000000000001</v>
      </c>
      <c r="M89" s="3">
        <v>6.1</v>
      </c>
      <c r="N89" s="3">
        <v>6.04</v>
      </c>
    </row>
    <row r="90" spans="10:14" x14ac:dyDescent="0.3">
      <c r="J90" s="3">
        <v>44</v>
      </c>
      <c r="K90" s="3" t="s">
        <v>221</v>
      </c>
      <c r="L90" s="3">
        <v>0.375</v>
      </c>
      <c r="M90" s="3">
        <v>6.33</v>
      </c>
      <c r="N90" s="3">
        <v>6.27</v>
      </c>
    </row>
    <row r="91" spans="10:14" x14ac:dyDescent="0.3">
      <c r="J91" s="3">
        <v>44</v>
      </c>
      <c r="K91" s="3" t="s">
        <v>222</v>
      </c>
      <c r="L91" s="3">
        <v>0.27589999999999998</v>
      </c>
      <c r="M91" s="3">
        <v>7.63</v>
      </c>
      <c r="N91" s="3">
        <v>7.55</v>
      </c>
    </row>
    <row r="92" spans="10:14" x14ac:dyDescent="0.3">
      <c r="J92" s="3">
        <v>45</v>
      </c>
      <c r="K92" s="3" t="s">
        <v>221</v>
      </c>
      <c r="L92" s="3">
        <v>0.41670000000000001</v>
      </c>
      <c r="M92" s="3">
        <v>10.4</v>
      </c>
      <c r="N92" s="3">
        <v>10.3</v>
      </c>
    </row>
    <row r="93" spans="10:14" x14ac:dyDescent="0.3">
      <c r="J93" s="3">
        <v>45</v>
      </c>
      <c r="K93" s="3" t="s">
        <v>222</v>
      </c>
      <c r="L93" s="3">
        <v>0.1613</v>
      </c>
      <c r="M93" s="3">
        <v>5.4</v>
      </c>
      <c r="N93" s="3">
        <v>5.35</v>
      </c>
    </row>
    <row r="94" spans="10:14" x14ac:dyDescent="0.3">
      <c r="J94" s="3">
        <v>46</v>
      </c>
      <c r="K94" s="3" t="s">
        <v>221</v>
      </c>
      <c r="L94" s="3">
        <v>0.33329999999999999</v>
      </c>
      <c r="M94" s="3">
        <v>7.25</v>
      </c>
      <c r="N94" s="3">
        <v>7.18</v>
      </c>
    </row>
    <row r="95" spans="10:14" x14ac:dyDescent="0.3">
      <c r="J95" s="3">
        <v>46</v>
      </c>
      <c r="K95" s="3" t="s">
        <v>222</v>
      </c>
      <c r="L95" s="3">
        <v>0.26469999999999999</v>
      </c>
      <c r="M95" s="3">
        <v>9.56</v>
      </c>
      <c r="N95" s="3">
        <v>9.57</v>
      </c>
    </row>
    <row r="96" spans="10:14" x14ac:dyDescent="0.3">
      <c r="J96" s="3">
        <v>47</v>
      </c>
      <c r="K96" s="3" t="s">
        <v>221</v>
      </c>
      <c r="L96" s="3">
        <v>0.4</v>
      </c>
      <c r="M96" s="3">
        <v>3.25</v>
      </c>
      <c r="N96" s="3">
        <v>3.22</v>
      </c>
    </row>
    <row r="97" spans="10:14" x14ac:dyDescent="0.3">
      <c r="J97" s="3">
        <v>47</v>
      </c>
      <c r="K97" s="3" t="s">
        <v>222</v>
      </c>
      <c r="L97" s="3">
        <v>0.1923</v>
      </c>
      <c r="M97" s="3">
        <v>7.6</v>
      </c>
      <c r="N97" s="3">
        <v>7.52</v>
      </c>
    </row>
    <row r="98" spans="10:14" x14ac:dyDescent="0.3">
      <c r="J98" s="3">
        <v>48</v>
      </c>
      <c r="K98" s="3" t="s">
        <v>221</v>
      </c>
      <c r="L98" s="3">
        <v>0.25</v>
      </c>
      <c r="M98" s="3">
        <v>9.5</v>
      </c>
      <c r="N98" s="3">
        <v>9.41</v>
      </c>
    </row>
    <row r="99" spans="10:14" x14ac:dyDescent="0.3">
      <c r="J99" s="3">
        <v>48</v>
      </c>
      <c r="K99" s="3" t="s">
        <v>222</v>
      </c>
      <c r="L99" s="3">
        <v>0.38100000000000001</v>
      </c>
      <c r="M99" s="3">
        <v>5.75</v>
      </c>
      <c r="N99" s="3">
        <v>5.82</v>
      </c>
    </row>
    <row r="100" spans="10:14" x14ac:dyDescent="0.3">
      <c r="J100" s="3">
        <v>49</v>
      </c>
      <c r="K100" s="3" t="s">
        <v>221</v>
      </c>
      <c r="L100" s="3">
        <v>1</v>
      </c>
      <c r="M100" s="3">
        <v>9</v>
      </c>
      <c r="N100" s="3">
        <v>8.91</v>
      </c>
    </row>
    <row r="101" spans="10:14" x14ac:dyDescent="0.3">
      <c r="J101" s="3">
        <v>49</v>
      </c>
      <c r="K101" s="3" t="s">
        <v>222</v>
      </c>
      <c r="L101" s="3">
        <v>0.22220000000000001</v>
      </c>
      <c r="M101" s="3">
        <v>7.13</v>
      </c>
      <c r="N101" s="3">
        <v>7.3</v>
      </c>
    </row>
    <row r="102" spans="10:14" x14ac:dyDescent="0.3">
      <c r="J102" s="3">
        <v>50</v>
      </c>
      <c r="K102" s="3" t="s">
        <v>221</v>
      </c>
      <c r="L102" s="3">
        <v>0.33329999999999999</v>
      </c>
      <c r="M102" s="3">
        <v>8.5</v>
      </c>
      <c r="N102" s="3">
        <v>8.42</v>
      </c>
    </row>
    <row r="103" spans="10:14" x14ac:dyDescent="0.3">
      <c r="J103" s="3">
        <v>50</v>
      </c>
      <c r="K103" s="3" t="s">
        <v>222</v>
      </c>
      <c r="L103" s="3">
        <v>0.42859999999999998</v>
      </c>
      <c r="M103" s="3">
        <v>9.11</v>
      </c>
      <c r="N103" s="3">
        <v>9.02</v>
      </c>
    </row>
    <row r="104" spans="10:14" x14ac:dyDescent="0.3">
      <c r="J104" s="3">
        <v>51</v>
      </c>
      <c r="K104" s="3" t="s">
        <v>221</v>
      </c>
      <c r="L104" s="3">
        <v>0.33329999999999999</v>
      </c>
      <c r="M104" s="3">
        <v>6</v>
      </c>
      <c r="N104" s="3">
        <v>5.94</v>
      </c>
    </row>
    <row r="105" spans="10:14" x14ac:dyDescent="0.3">
      <c r="J105" s="3">
        <v>51</v>
      </c>
      <c r="K105" s="3" t="s">
        <v>222</v>
      </c>
      <c r="L105" s="3">
        <v>0.1875</v>
      </c>
      <c r="M105" s="3">
        <v>8.67</v>
      </c>
      <c r="N105" s="3">
        <v>8.58</v>
      </c>
    </row>
    <row r="106" spans="10:14" x14ac:dyDescent="0.3">
      <c r="J106" s="3">
        <v>52</v>
      </c>
      <c r="K106" s="3" t="s">
        <v>221</v>
      </c>
      <c r="L106" s="3">
        <v>1</v>
      </c>
      <c r="M106" s="3">
        <v>13</v>
      </c>
      <c r="N106" s="3">
        <v>12.87</v>
      </c>
    </row>
    <row r="107" spans="10:14" x14ac:dyDescent="0.3">
      <c r="J107" s="3">
        <v>52</v>
      </c>
      <c r="K107" s="3" t="s">
        <v>222</v>
      </c>
      <c r="L107" s="3">
        <v>0.21879999999999999</v>
      </c>
      <c r="M107" s="3">
        <v>8</v>
      </c>
      <c r="N107" s="3">
        <v>7.92</v>
      </c>
    </row>
    <row r="108" spans="10:14" x14ac:dyDescent="0.3">
      <c r="J108" s="3">
        <v>53</v>
      </c>
      <c r="K108" s="3" t="s">
        <v>221</v>
      </c>
      <c r="L108" s="3">
        <v>0.25</v>
      </c>
      <c r="M108" s="3">
        <v>9.67</v>
      </c>
      <c r="N108" s="3">
        <v>9.57</v>
      </c>
    </row>
    <row r="109" spans="10:14" x14ac:dyDescent="0.3">
      <c r="J109" s="3">
        <v>53</v>
      </c>
      <c r="K109" s="3" t="s">
        <v>222</v>
      </c>
      <c r="L109" s="3">
        <v>0.2424</v>
      </c>
      <c r="M109" s="3">
        <v>8.75</v>
      </c>
      <c r="N109" s="3">
        <v>8.66</v>
      </c>
    </row>
    <row r="110" spans="10:14" x14ac:dyDescent="0.3">
      <c r="J110" s="3">
        <v>54</v>
      </c>
      <c r="K110" s="3" t="s">
        <v>221</v>
      </c>
      <c r="L110" s="3">
        <v>0.2</v>
      </c>
      <c r="M110" s="3">
        <v>8</v>
      </c>
      <c r="N110" s="3">
        <v>7.92</v>
      </c>
    </row>
    <row r="111" spans="10:14" x14ac:dyDescent="0.3">
      <c r="J111" s="3">
        <v>54</v>
      </c>
      <c r="K111" s="3" t="s">
        <v>222</v>
      </c>
      <c r="L111" s="3">
        <v>0.7</v>
      </c>
      <c r="M111" s="3">
        <v>9.14</v>
      </c>
      <c r="N111" s="3">
        <v>9.0500000000000007</v>
      </c>
    </row>
    <row r="112" spans="10:14" x14ac:dyDescent="0.3">
      <c r="J112" s="3">
        <v>55</v>
      </c>
      <c r="K112" s="3" t="s">
        <v>221</v>
      </c>
      <c r="L112" s="3">
        <v>0.5</v>
      </c>
      <c r="M112" s="3">
        <v>10.33</v>
      </c>
      <c r="N112" s="3">
        <v>10.23</v>
      </c>
    </row>
    <row r="113" spans="10:14" x14ac:dyDescent="0.3">
      <c r="J113" s="3">
        <v>55</v>
      </c>
      <c r="K113" s="3" t="s">
        <v>222</v>
      </c>
      <c r="L113" s="3">
        <v>0.35</v>
      </c>
      <c r="M113" s="3">
        <v>7.29</v>
      </c>
      <c r="N113" s="3">
        <v>7.21</v>
      </c>
    </row>
    <row r="114" spans="10:14" x14ac:dyDescent="0.3">
      <c r="J114" s="3">
        <v>56</v>
      </c>
      <c r="K114" s="3" t="s">
        <v>221</v>
      </c>
      <c r="L114" s="3">
        <v>0.22220000000000001</v>
      </c>
      <c r="M114" s="3">
        <v>8</v>
      </c>
      <c r="N114" s="3">
        <v>7.92</v>
      </c>
    </row>
    <row r="115" spans="10:14" x14ac:dyDescent="0.3">
      <c r="J115" s="3">
        <v>56</v>
      </c>
      <c r="K115" s="3" t="s">
        <v>222</v>
      </c>
      <c r="L115" s="3">
        <v>0.23080000000000001</v>
      </c>
      <c r="M115" s="3">
        <v>8</v>
      </c>
      <c r="N115" s="3">
        <v>7.92</v>
      </c>
    </row>
    <row r="116" spans="10:14" x14ac:dyDescent="0.3">
      <c r="J116" s="3">
        <v>57</v>
      </c>
      <c r="K116" s="3" t="s">
        <v>221</v>
      </c>
      <c r="L116" s="3">
        <v>0.4</v>
      </c>
      <c r="M116" s="3">
        <v>6</v>
      </c>
      <c r="N116" s="3">
        <v>5.94</v>
      </c>
    </row>
    <row r="117" spans="10:14" x14ac:dyDescent="0.3">
      <c r="J117" s="3">
        <v>57</v>
      </c>
      <c r="K117" s="3" t="s">
        <v>222</v>
      </c>
      <c r="L117" s="3">
        <v>0.33329999999999999</v>
      </c>
      <c r="M117" s="3">
        <v>8.2200000000000006</v>
      </c>
      <c r="N117" s="3">
        <v>8.14</v>
      </c>
    </row>
    <row r="118" spans="10:14" x14ac:dyDescent="0.3">
      <c r="J118" s="3">
        <v>58</v>
      </c>
      <c r="K118" s="3" t="s">
        <v>221</v>
      </c>
      <c r="L118" s="3">
        <v>0.5</v>
      </c>
      <c r="M118" s="3">
        <v>7.6</v>
      </c>
      <c r="N118" s="3">
        <v>7.52</v>
      </c>
    </row>
    <row r="119" spans="10:14" x14ac:dyDescent="0.3">
      <c r="J119" s="3">
        <v>58</v>
      </c>
      <c r="K119" s="3" t="s">
        <v>222</v>
      </c>
      <c r="L119" s="3">
        <v>0.32</v>
      </c>
      <c r="M119" s="3">
        <v>9.3800000000000008</v>
      </c>
      <c r="N119" s="3">
        <v>9.2799999999999994</v>
      </c>
    </row>
    <row r="120" spans="10:14" x14ac:dyDescent="0.3">
      <c r="J120" s="3">
        <v>59</v>
      </c>
      <c r="K120" s="3" t="s">
        <v>221</v>
      </c>
      <c r="L120" s="3">
        <v>0.41670000000000001</v>
      </c>
      <c r="M120" s="3">
        <v>10</v>
      </c>
      <c r="N120" s="3">
        <v>9.9</v>
      </c>
    </row>
    <row r="121" spans="10:14" x14ac:dyDescent="0.3">
      <c r="J121" s="3">
        <v>59</v>
      </c>
      <c r="K121" s="3" t="s">
        <v>222</v>
      </c>
      <c r="L121" s="3">
        <v>9.3799999999999994E-2</v>
      </c>
      <c r="M121" s="3">
        <v>7.33</v>
      </c>
      <c r="N121" s="3">
        <v>7.26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9303-21FF-496A-B55F-DA1205F2506F}">
  <dimension ref="B4:E9"/>
  <sheetViews>
    <sheetView workbookViewId="0">
      <selection activeCell="E16" sqref="E16"/>
    </sheetView>
  </sheetViews>
  <sheetFormatPr defaultRowHeight="14.4" x14ac:dyDescent="0.3"/>
  <sheetData>
    <row r="4" spans="2:5" x14ac:dyDescent="0.3">
      <c r="B4" s="6" t="s">
        <v>175</v>
      </c>
      <c r="C4" s="3" t="s">
        <v>279</v>
      </c>
      <c r="D4" s="3" t="s">
        <v>280</v>
      </c>
      <c r="E4" s="3" t="s">
        <v>115</v>
      </c>
    </row>
    <row r="5" spans="2:5" x14ac:dyDescent="0.3">
      <c r="C5" s="3">
        <v>1</v>
      </c>
      <c r="D5" s="3" t="s">
        <v>281</v>
      </c>
      <c r="E5" s="3">
        <v>4207.5</v>
      </c>
    </row>
    <row r="6" spans="2:5" x14ac:dyDescent="0.3">
      <c r="C6" s="3">
        <v>2</v>
      </c>
      <c r="D6" s="3" t="s">
        <v>282</v>
      </c>
      <c r="E6" s="3">
        <v>431.64</v>
      </c>
    </row>
    <row r="7" spans="2:5" x14ac:dyDescent="0.3">
      <c r="C7" s="3">
        <v>4</v>
      </c>
      <c r="D7" s="3" t="s">
        <v>283</v>
      </c>
      <c r="E7" s="3">
        <v>34.65</v>
      </c>
    </row>
    <row r="8" spans="2:5" x14ac:dyDescent="0.3">
      <c r="C8" s="3">
        <v>5</v>
      </c>
      <c r="D8" s="3" t="s">
        <v>284</v>
      </c>
      <c r="E8" s="3">
        <v>20.79</v>
      </c>
    </row>
    <row r="9" spans="2:5" x14ac:dyDescent="0.3">
      <c r="C9" s="3">
        <v>3</v>
      </c>
      <c r="D9" s="3" t="s">
        <v>285</v>
      </c>
      <c r="E9" s="3">
        <v>2.97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</vt:lpstr>
      <vt:lpstr>Subjective</vt:lpstr>
      <vt:lpstr>Extra_tables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Gupta</dc:creator>
  <cp:lastModifiedBy>Rohan Gupta</cp:lastModifiedBy>
  <dcterms:created xsi:type="dcterms:W3CDTF">2026-01-07T13:48:10Z</dcterms:created>
  <dcterms:modified xsi:type="dcterms:W3CDTF">2026-01-29T13:28:34Z</dcterms:modified>
</cp:coreProperties>
</file>